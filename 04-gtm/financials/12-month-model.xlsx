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e1fbc9ce545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7a48bfaf8c21425f"/>
    <x:sheet xmlns:r="http://schemas.openxmlformats.org/officeDocument/2006/relationships" name="12-Month Model" sheetId="2" r:id="R9f121f896b744d9f"/>
    <x:sheet xmlns:r="http://schemas.openxmlformats.org/officeDocument/2006/relationships" name="Dashboard" sheetId="3" r:id="Rf8961c9ac30846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yyyy-mm-dd"/>
    <x:numFmt numFmtId="202" formatCode="mmm-yy"/>
    <x:numFmt numFmtId="203" formatCode="#,##0;[Red](#,##0);-"/>
    <x:numFmt numFmtId="204" formatCode="#,##0.00;[Red](#,##0.00);-"/>
  </x:numFmts>
  <x:fonts count="6">
    <x:font>
      <x:sz val="11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sz val="11"/>
      <x:color rgb="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f41f16af146b9" /><Relationship Type="http://schemas.openxmlformats.org/officeDocument/2006/relationships/theme" Target="/xl/theme/theme1.xml" Id="Rc87386a176974942" /><Relationship Type="http://schemas.openxmlformats.org/officeDocument/2006/relationships/sharedStrings" Target="/xl/sharedStrings.xml" Id="Raf70d169af1d49ae" /><Relationship Type="http://schemas.openxmlformats.org/officeDocument/2006/relationships/worksheet" Target="/xl/worksheets/sheet1.xml" Id="R7a48bfaf8c21425f" /><Relationship Type="http://schemas.openxmlformats.org/officeDocument/2006/relationships/worksheet" Target="/xl/worksheets/sheet2.xml" Id="R9f121f896b744d9f" /><Relationship Type="http://schemas.openxmlformats.org/officeDocument/2006/relationships/worksheet" Target="/xl/worksheets/sheet3.xml" Id="Rf8961c9ac30846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15ef9940004951" /><Relationship Type="http://schemas.openxmlformats.org/officeDocument/2006/relationships/chart" Target="/xl/drawings/charts/chart2.xml" Id="R09f4dd7972de46e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Model'!$B$4:$B$11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Model'!$C$4:$C$11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Model'!$D$4:$D$11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Model'!$E$4:$E$11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Model'!$F$4:$F$11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5"/>
          <c:order val="5"/>
          <c:tx>
            <c:v>Series 6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Model'!$G$4:$G$11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6"/>
          <c:order val="6"/>
          <c:tx>
            <c:v>Series 7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Model'!$H$4:$H$11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7"/>
          <c:order val="7"/>
          <c:tx>
            <c:v>Series 8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Model'!$I$4:$I$11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8"/>
          <c:order val="8"/>
          <c:tx>
            <c:v>Series 9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Model'!$J$4:$J$11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9"/>
          <c:order val="9"/>
          <c:tx>
            <c:v>Series 10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Model'!$K$4:$K$11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10"/>
          <c:order val="10"/>
          <c:tx>
            <c:v>Series 11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Model'!$L$4:$L$11</c:f>
              <c:numCache>
                <c:formatCode>mmm-yy</c:formatCode>
                <c:ptCount val="0"/>
              </c:numCache>
            </c:numRef>
          </c:val>
          <c:smooth val="0"/>
        </c:ser>
        <c:ser>
          <c:idx val="11"/>
          <c:order val="11"/>
          <c:tx>
            <c:v>Series 12</c:v>
          </c:tx>
          <c:cat>
            <c:strRef>
              <c:f>'12-Month Model'!$A$4:$A$11</c:f>
              <c:strCache>
                <c:ptCount val="0"/>
              </c:strCache>
            </c:strRef>
          </c:cat>
          <c:val>
            <c:numRef>
              <c:f>'12-Month Model'!$M$4:$M$11</c:f>
              <c:numCache>
                <c:formatCode>mmm-yy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Active Creator Ramp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Model'!$B$5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Model'!$C$5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Model'!$D$5</c:f>
              <c:numCache>
                <c:formatCode>#,##0;[Red](#,##0);-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Model'!$E$5</c:f>
              <c:numCache>
                <c:formatCode>#,##0;[Red](#,##0);-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Model'!$F$5</c:f>
              <c:numCache>
                <c:formatCode>#,##0;[Red](#,##0);-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Model'!$G$5</c:f>
              <c:numCache>
                <c:formatCode>#,##0;[Red](#,##0);-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Model'!$H$5</c:f>
              <c:numCache>
                <c:formatCode>#,##0;[Red](#,##0);-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Model'!$I$5</c:f>
              <c:numCache>
                <c:formatCode>#,##0;[Red](#,##0);-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Model'!$J$5</c:f>
              <c:numCache>
                <c:formatCode>#,##0;[Red](#,##0);-</c:formatCode>
                <c:ptCount val="0"/>
              </c:numCache>
            </c:numRef>
          </c:val>
        </c:ser>
        <c:ser>
          <c:idx val="9"/>
          <c:order val="9"/>
          <c:tx>
            <c:v>Series 10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Model'!$K$5</c:f>
              <c:numCache>
                <c:formatCode>#,##0;[Red](#,##0);-</c:formatCode>
                <c:ptCount val="0"/>
              </c:numCache>
            </c:numRef>
          </c:val>
        </c:ser>
        <c:ser>
          <c:idx val="10"/>
          <c:order val="10"/>
          <c:tx>
            <c:v>Series 11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Model'!$L$5</c:f>
              <c:numCache>
                <c:formatCode>#,##0;[Red](#,##0);-</c:formatCode>
                <c:ptCount val="0"/>
              </c:numCache>
            </c:numRef>
          </c:val>
        </c:ser>
        <c:ser>
          <c:idx val="11"/>
          <c:order val="11"/>
          <c:tx>
            <c:v>Series 12</c:v>
          </c:tx>
          <c:cat>
            <c:strRef>
              <c:f>'12-Month Model'!$A$5</c:f>
              <c:strCache>
                <c:ptCount val="0"/>
              </c:strCache>
            </c:strRef>
          </c:cat>
          <c:val>
            <c:numRef>
              <c:f>'12-Month Model'!$M$5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15ef9940004951"/>
        </a:graphicData>
      </a:graphic>
    </xdr:graphicFrame>
    <xdr:clientData/>
  </xdr:twoCellAnchor>
  <xdr:twoCellAnchor>
    <xdr:from>
      <xdr:col>3</xdr:col>
      <xdr:colOff>0</xdr:colOff>
      <xdr:row>15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f4dd7972de46e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fc5e552bdd5420f" /></Relationships>
</file>

<file path=xl/worksheets/sheet1.xml><?xml version="1.0" encoding="utf-8"?>
<x:worksheet xmlns:x="http://schemas.openxmlformats.org/spreadsheetml/2006/main">
  <x:sheetFormatPr defaultRowHeight="15"/>
  <x:cols>
    <x:col min="1" max="1" width="26.920000076293945" hidden="0" customWidth="1"/>
    <x:col min="2" max="2" width="6.860000133514404" hidden="0" customWidth="1"/>
    <x:col min="3" max="3" width="10.359999656677246" hidden="0" customWidth="1"/>
    <x:col min="4" max="4" width="48.45000076293945" hidden="0" customWidth="1"/>
  </x:cols>
  <x:sheetData>
    <x:row r="1">
      <x:c r="A1" s="4" t="str">
        <x:v>Input</x:v>
      </x:c>
      <x:c r="B1" s="4" t="str">
        <x:v>Value</x:v>
      </x:c>
      <x:c r="C1" s="4" t="str">
        <x:v>Unit</x:v>
      </x:c>
      <x:c r="D1" s="4" t="str">
        <x:v>Source / Notes</x:v>
      </x:c>
    </x:row>
    <x:row r="2">
      <x:c r="A2" t="str">
        <x:v>Platform fee</x:v>
      </x:c>
      <x:c r="B2" s="10" t="n">
        <x:v>0.08</x:v>
      </x:c>
      <x:c r="C2" t="str">
        <x:v>% of GMV</x:v>
      </x:c>
      <x:c r="D2" t="str">
        <x:v>User/course project assumption: Musa charges 8% per order</x:v>
      </x:c>
    </x:row>
    <x:row r="3">
      <x:c r="A3" t="str">
        <x:v>Average order value</x:v>
      </x:c>
      <x:c r="B3" s="8" t="n">
        <x:v>25</x:v>
      </x:c>
      <x:c r="C3" t="str">
        <x:v>GEL / order</x:v>
      </x:c>
      <x:c r="D3" t="str">
        <x:v>Bottom-up model assumption used in Musa market sizing</x:v>
      </x:c>
    </x:row>
    <x:row r="4">
      <x:c r="A4" t="str">
        <x:v>Orders per active creator / month</x:v>
      </x:c>
      <x:c r="B4" s="8" t="n">
        <x:v>4</x:v>
      </x:c>
      <x:c r="C4" t="str">
        <x:v>orders</x:v>
      </x:c>
      <x:c r="D4" t="str">
        <x:v>Bottom-up model assumption used in Musa market sizing</x:v>
      </x:c>
    </x:row>
    <x:row r="5">
      <x:c r="A5" t="str">
        <x:v>Starting active creators</x:v>
      </x:c>
      <x:c r="B5" s="8" t="n">
        <x:v>25</x:v>
      </x:c>
      <x:c r="C5" t="str">
        <x:v>creators</x:v>
      </x:c>
      <x:c r="D5" t="str">
        <x:v>Assumption for first launch month</x:v>
      </x:c>
    </x:row>
    <x:row r="6">
      <x:c r="A6" t="str">
        <x:v>Month 12 active creators</x:v>
      </x:c>
      <x:c r="B6" s="10" t="n">
        <x:v>500</x:v>
      </x:c>
      <x:c r="C6" t="str">
        <x:v>creators</x:v>
      </x:c>
      <x:c r="D6" t="str">
        <x:v>Demo-day target / SOM plan</x:v>
      </x:c>
    </x:row>
    <x:row r="7">
      <x:c r="A7" t="str">
        <x:v>Monthly creator churn</x:v>
      </x:c>
      <x:c r="B7" s="10" t="n">
        <x:v>0.05</x:v>
      </x:c>
      <x:c r="C7" t="str">
        <x:v>%</x:v>
      </x:c>
      <x:c r="D7" t="str">
        <x:v>Editable assumption</x:v>
      </x:c>
    </x:row>
    <x:row r="8">
      <x:c r="A8" t="str">
        <x:v>Payment processing fee</x:v>
      </x:c>
      <x:c r="B8" s="8" t="n">
        <x:v>0.029</x:v>
      </x:c>
      <x:c r="C8" t="str">
        <x:v>% of GMV</x:v>
      </x:c>
      <x:c r="D8" t="str">
        <x:v>Placeholder; update with actual provider</x:v>
      </x:c>
    </x:row>
    <x:row r="9">
      <x:c r="A9" t="str">
        <x:v>Fixed payment fee</x:v>
      </x:c>
      <x:c r="B9" s="8" t="n">
        <x:v>0.5</x:v>
      </x:c>
      <x:c r="C9" t="str">
        <x:v>GEL / order</x:v>
      </x:c>
      <x:c r="D9" t="str">
        <x:v>Placeholder; update with actual provider</x:v>
      </x:c>
    </x:row>
    <x:row r="10">
      <x:c r="A10" t="str">
        <x:v>Hosting / tools</x:v>
      </x:c>
      <x:c r="B10" s="8" t="n">
        <x:v>60</x:v>
      </x:c>
      <x:c r="C10" t="str">
        <x:v>GEL / month</x:v>
      </x:c>
      <x:c r="D10" t="str">
        <x:v>Editable assumption: Render/Cloudflare/dev tools</x:v>
      </x:c>
    </x:row>
    <x:row r="11">
      <x:c r="A11" t="str">
        <x:v>Marketing budget</x:v>
      </x:c>
      <x:c r="B11" s="8" t="n">
        <x:v>100</x:v>
      </x:c>
      <x:c r="C11" t="str">
        <x:v>GEL / month</x:v>
      </x:c>
      <x:c r="D11" t="str">
        <x:v>Editable assumption</x:v>
      </x:c>
    </x:row>
    <x:row r="12">
      <x:c r="A12" t="str">
        <x:v>Support / ops cost</x:v>
      </x:c>
      <x:c r="B12" s="12" t="n">
        <x:v>150</x:v>
      </x:c>
      <x:c r="C12" t="str">
        <x:v>GEL / month</x:v>
      </x:c>
      <x:c r="D12" t="str">
        <x:v>Editable assumption</x:v>
      </x:c>
    </x:row>
    <x:row r="13">
      <x:c r="A13" t="str">
        <x:v>Launch month</x:v>
      </x:c>
      <x:c r="B13" s="8" t="n">
        <x:v>46204</x:v>
      </x:c>
      <x:c r="C13" t="str">
        <x:v>date</x:v>
      </x:c>
      <x:c r="D13" t="str">
        <x:v>Editable model start date</x:v>
      </x:c>
    </x:row>
    <x:row r="14">
      <x:c r="A14" t="str">
        <x:v>Target CAC</x:v>
      </x:c>
      <x:c r="B14" s="8" t="n">
        <x:v>2</x:v>
      </x:c>
      <x:c r="C14" t="str">
        <x:v>GEL / creator</x:v>
      </x:c>
      <x:c r="D14" t="str">
        <x:v>Editable assumption from GTM experiments</x:v>
      </x:c>
    </x:row>
    <x:row r="15">
      <x:c r="A15" t="str">
        <x:v>Currency</x:v>
      </x:c>
      <x:c r="B15" s="8" t="str">
        <x:v>GEL</x:v>
      </x:c>
      <x:c r="C15" t="str"/>
      <x:c r="D15" t="str">
        <x:v>Model currency</x:v>
      </x:c>
    </x:row>
    <x:row r="16">
      <x:c r="A16" t="str">
        <x:v>Model version</x:v>
      </x:c>
      <x:c r="B16" t="str">
        <x:v>CP4 final</x:v>
      </x:c>
      <x:c r="C16" t="str"/>
      <x:c r="D16" t="str">
        <x:v>For final repository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.9900016784668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.940000057220459" hidden="0" customWidth="1"/>
    <x:col min="12" max="12" width="7.940000057220459" hidden="0" customWidth="1"/>
    <x:col min="13" max="13" width="7.940000057220459" hidden="0" customWidth="1"/>
  </x:cols>
  <x:sheetData>
    <x:row r="1">
      <x:c r="A1" s="15" t="str">
        <x:v>Musa 12-Month Operating Model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3">
      <x:c r="A3" s="20" t="str">
        <x:v>Metric</x:v>
      </x:c>
      <x:c r="B3" s="20" t="str">
        <x:v>Month 1</x:v>
      </x:c>
      <x:c r="C3" s="20" t="str">
        <x:v>Month 2</x:v>
      </x:c>
      <x:c r="D3" s="20" t="str">
        <x:v>Month 3</x:v>
      </x:c>
      <x:c r="E3" s="20" t="str">
        <x:v>Month 4</x:v>
      </x:c>
      <x:c r="F3" s="20" t="str">
        <x:v>Month 5</x:v>
      </x:c>
      <x:c r="G3" s="20" t="str">
        <x:v>Month 6</x:v>
      </x:c>
      <x:c r="H3" s="20" t="str">
        <x:v>Month 7</x:v>
      </x:c>
      <x:c r="I3" s="20" t="str">
        <x:v>Month 8</x:v>
      </x:c>
      <x:c r="J3" s="20" t="str">
        <x:v>Month 9</x:v>
      </x:c>
      <x:c r="K3" s="20" t="str">
        <x:v>Month 10</x:v>
      </x:c>
      <x:c r="L3" s="20" t="str">
        <x:v>Month 11</x:v>
      </x:c>
      <x:c r="M3" s="20" t="str">
        <x:v>Month 12</x:v>
      </x:c>
    </x:row>
    <x:row r="4">
      <x:c r="A4" s="24" t="str">
        <x:v>Date</x:v>
      </x:c>
      <x:c r="B4" s="26" t="n">
        <x:f>Assumptions!$B$13</x:f>
        <x:v>46204</x:v>
      </x:c>
      <x:c r="C4" s="26" t="n">
        <x:f>EDATE(B4,1)</x:f>
        <x:v>46235</x:v>
      </x:c>
      <x:c r="D4" s="26" t="n">
        <x:f>EDATE(C4,1)</x:f>
        <x:v>46266</x:v>
      </x:c>
      <x:c r="E4" s="26" t="n">
        <x:f>EDATE(D4,1)</x:f>
        <x:v>46296</x:v>
      </x:c>
      <x:c r="F4" s="26" t="n">
        <x:f>EDATE(E4,1)</x:f>
        <x:v>46327</x:v>
      </x:c>
      <x:c r="G4" s="26" t="n">
        <x:f>EDATE(F4,1)</x:f>
        <x:v>46357</x:v>
      </x:c>
      <x:c r="H4" s="26" t="n">
        <x:f>EDATE(G4,1)</x:f>
        <x:v>46388</x:v>
      </x:c>
      <x:c r="I4" s="26" t="n">
        <x:f>EDATE(H4,1)</x:f>
        <x:v>46419</x:v>
      </x:c>
      <x:c r="J4" s="26" t="n">
        <x:f>EDATE(I4,1)</x:f>
        <x:v>46447</x:v>
      </x:c>
      <x:c r="K4" s="26" t="n">
        <x:f>EDATE(J4,1)</x:f>
        <x:v>46478</x:v>
      </x:c>
      <x:c r="L4" s="26" t="n">
        <x:f>EDATE(K4,1)</x:f>
        <x:v>46508</x:v>
      </x:c>
      <x:c r="M4" s="26" t="n">
        <x:f>EDATE(L4,1)</x:f>
        <x:v>46539</x:v>
      </x:c>
    </x:row>
    <x:row r="5">
      <x:c r="A5" s="24" t="str">
        <x:v>Active creators</x:v>
      </x:c>
      <x:c r="B5" s="28" t="n">
        <x:f>ROUND(Assumptions!$B$5+(Assumptions!$B$6-Assumptions!$B$5)*(0/11),0)</x:f>
        <x:v>25</x:v>
      </x:c>
      <x:c r="C5" s="28" t="n">
        <x:f>ROUND(Assumptions!$B$5+(Assumptions!$B$6-Assumptions!$B$5)*(1/11),0)</x:f>
        <x:v>68</x:v>
      </x:c>
      <x:c r="D5" s="28" t="n">
        <x:f>ROUND(Assumptions!$B$5+(Assumptions!$B$6-Assumptions!$B$5)*(2/11),0)</x:f>
        <x:v>111</x:v>
      </x:c>
      <x:c r="E5" s="28" t="n">
        <x:f>ROUND(Assumptions!$B$5+(Assumptions!$B$6-Assumptions!$B$5)*(3/11),0)</x:f>
        <x:v>155</x:v>
      </x:c>
      <x:c r="F5" s="28" t="n">
        <x:f>ROUND(Assumptions!$B$5+(Assumptions!$B$6-Assumptions!$B$5)*(4/11),0)</x:f>
        <x:v>198</x:v>
      </x:c>
      <x:c r="G5" s="28" t="n">
        <x:f>ROUND(Assumptions!$B$5+(Assumptions!$B$6-Assumptions!$B$5)*(5/11),0)</x:f>
        <x:v>241</x:v>
      </x:c>
      <x:c r="H5" s="28" t="n">
        <x:f>ROUND(Assumptions!$B$5+(Assumptions!$B$6-Assumptions!$B$5)*(6/11),0)</x:f>
        <x:v>284</x:v>
      </x:c>
      <x:c r="I5" s="28" t="n">
        <x:f>ROUND(Assumptions!$B$5+(Assumptions!$B$6-Assumptions!$B$5)*(7/11),0)</x:f>
        <x:v>327</x:v>
      </x:c>
      <x:c r="J5" s="28" t="n">
        <x:f>ROUND(Assumptions!$B$5+(Assumptions!$B$6-Assumptions!$B$5)*(8/11),0)</x:f>
        <x:v>370</x:v>
      </x:c>
      <x:c r="K5" s="28" t="n">
        <x:f>ROUND(Assumptions!$B$5+(Assumptions!$B$6-Assumptions!$B$5)*(9/11),0)</x:f>
        <x:v>414</x:v>
      </x:c>
      <x:c r="L5" s="28" t="n">
        <x:f>ROUND(Assumptions!$B$5+(Assumptions!$B$6-Assumptions!$B$5)*(10/11),0)</x:f>
        <x:v>457</x:v>
      </x:c>
      <x:c r="M5" s="28" t="n">
        <x:f>ROUND(Assumptions!$B$5+(Assumptions!$B$6-Assumptions!$B$5)*(11/11),0)</x:f>
        <x:v>500</x:v>
      </x:c>
    </x:row>
    <x:row r="6">
      <x:c r="A6" s="24" t="str">
        <x:v>Orders / active creator</x:v>
      </x:c>
      <x:c r="B6" s="34" t="n">
        <x:f>Assumptions!$B$4</x:f>
        <x:v>4</x:v>
      </x:c>
      <x:c r="C6" s="34" t="n">
        <x:f>Assumptions!$B$4</x:f>
        <x:v>4</x:v>
      </x:c>
      <x:c r="D6" s="34" t="n">
        <x:f>Assumptions!$B$4</x:f>
        <x:v>4</x:v>
      </x:c>
      <x:c r="E6" s="34" t="n">
        <x:f>Assumptions!$B$4</x:f>
        <x:v>4</x:v>
      </x:c>
      <x:c r="F6" s="34" t="n">
        <x:f>Assumptions!$B$4</x:f>
        <x:v>4</x:v>
      </x:c>
      <x:c r="G6" s="34" t="n">
        <x:f>Assumptions!$B$4</x:f>
        <x:v>4</x:v>
      </x:c>
      <x:c r="H6" s="34" t="n">
        <x:f>Assumptions!$B$4</x:f>
        <x:v>4</x:v>
      </x:c>
      <x:c r="I6" s="34" t="n">
        <x:f>Assumptions!$B$4</x:f>
        <x:v>4</x:v>
      </x:c>
      <x:c r="J6" s="34" t="n">
        <x:f>Assumptions!$B$4</x:f>
        <x:v>4</x:v>
      </x:c>
      <x:c r="K6" s="34" t="n">
        <x:f>Assumptions!$B$4</x:f>
        <x:v>4</x:v>
      </x:c>
      <x:c r="L6" s="34" t="n">
        <x:f>Assumptions!$B$4</x:f>
        <x:v>4</x:v>
      </x:c>
      <x:c r="M6" s="34" t="n">
        <x:f>Assumptions!$B$4</x:f>
        <x:v>4</x:v>
      </x:c>
    </x:row>
    <x:row r="7">
      <x:c r="A7" s="24" t="str">
        <x:v>Total orders</x:v>
      </x:c>
      <x:c r="B7" s="28" t="n">
        <x:f>B5*B6</x:f>
        <x:v>100</x:v>
      </x:c>
      <x:c r="C7" s="28" t="n">
        <x:f>C5*C6</x:f>
        <x:v>272</x:v>
      </x:c>
      <x:c r="D7" s="28" t="n">
        <x:f>D5*D6</x:f>
        <x:v>444</x:v>
      </x:c>
      <x:c r="E7" s="28" t="n">
        <x:f>E5*E6</x:f>
        <x:v>620</x:v>
      </x:c>
      <x:c r="F7" s="28" t="n">
        <x:f>F5*F6</x:f>
        <x:v>792</x:v>
      </x:c>
      <x:c r="G7" s="28" t="n">
        <x:f>G5*G6</x:f>
        <x:v>964</x:v>
      </x:c>
      <x:c r="H7" s="28" t="n">
        <x:f>H5*H6</x:f>
        <x:v>1136</x:v>
      </x:c>
      <x:c r="I7" s="28" t="n">
        <x:f>I5*I6</x:f>
        <x:v>1308</x:v>
      </x:c>
      <x:c r="J7" s="28" t="n">
        <x:f>J5*J6</x:f>
        <x:v>1480</x:v>
      </x:c>
      <x:c r="K7" s="28" t="n">
        <x:f>K5*K6</x:f>
        <x:v>1656</x:v>
      </x:c>
      <x:c r="L7" s="28" t="n">
        <x:f>L5*L6</x:f>
        <x:v>1828</x:v>
      </x:c>
      <x:c r="M7" s="28" t="n">
        <x:f>M5*M6</x:f>
        <x:v>2000</x:v>
      </x:c>
    </x:row>
    <x:row r="8">
      <x:c r="A8" s="24" t="str">
        <x:v>Average order value</x:v>
      </x:c>
      <x:c r="B8" s="36" t="n">
        <x:f>Assumptions!$B$3</x:f>
        <x:v>25</x:v>
      </x:c>
      <x:c r="C8" s="36" t="n">
        <x:f>Assumptions!$B$3</x:f>
        <x:v>25</x:v>
      </x:c>
      <x:c r="D8" s="36" t="n">
        <x:f>Assumptions!$B$3</x:f>
        <x:v>25</x:v>
      </x:c>
      <x:c r="E8" s="36" t="n">
        <x:f>Assumptions!$B$3</x:f>
        <x:v>25</x:v>
      </x:c>
      <x:c r="F8" s="36" t="n">
        <x:f>Assumptions!$B$3</x:f>
        <x:v>25</x:v>
      </x:c>
      <x:c r="G8" s="36" t="n">
        <x:f>Assumptions!$B$3</x:f>
        <x:v>25</x:v>
      </x:c>
      <x:c r="H8" s="36" t="n">
        <x:f>Assumptions!$B$3</x:f>
        <x:v>25</x:v>
      </x:c>
      <x:c r="I8" s="36" t="n">
        <x:f>Assumptions!$B$3</x:f>
        <x:v>25</x:v>
      </x:c>
      <x:c r="J8" s="36" t="n">
        <x:f>Assumptions!$B$3</x:f>
        <x:v>25</x:v>
      </x:c>
      <x:c r="K8" s="36" t="n">
        <x:f>Assumptions!$B$3</x:f>
        <x:v>25</x:v>
      </x:c>
      <x:c r="L8" s="36" t="n">
        <x:f>Assumptions!$B$3</x:f>
        <x:v>25</x:v>
      </x:c>
      <x:c r="M8" s="36" t="n">
        <x:f>Assumptions!$B$3</x:f>
        <x:v>25</x:v>
      </x:c>
    </x:row>
    <x:row r="9">
      <x:c r="A9" s="24" t="str">
        <x:v>GMV</x:v>
      </x:c>
      <x:c r="B9" s="30" t="n">
        <x:f>B7*B8</x:f>
        <x:v>2500</x:v>
      </x:c>
      <x:c r="C9" s="30" t="n">
        <x:f>C7*C8</x:f>
        <x:v>6800</x:v>
      </x:c>
      <x:c r="D9" s="30" t="n">
        <x:f>D7*D8</x:f>
        <x:v>11100</x:v>
      </x:c>
      <x:c r="E9" s="30" t="n">
        <x:f>E7*E8</x:f>
        <x:v>15500</x:v>
      </x:c>
      <x:c r="F9" s="30" t="n">
        <x:f>F7*F8</x:f>
        <x:v>19800</x:v>
      </x:c>
      <x:c r="G9" s="30" t="n">
        <x:f>G7*G8</x:f>
        <x:v>24100</x:v>
      </x:c>
      <x:c r="H9" s="30" t="n">
        <x:f>H7*H8</x:f>
        <x:v>28400</x:v>
      </x:c>
      <x:c r="I9" s="30" t="n">
        <x:f>I7*I8</x:f>
        <x:v>32700</x:v>
      </x:c>
      <x:c r="J9" s="30" t="n">
        <x:f>J7*J8</x:f>
        <x:v>37000</x:v>
      </x:c>
      <x:c r="K9" s="30" t="n">
        <x:f>K7*K8</x:f>
        <x:v>41400</x:v>
      </x:c>
      <x:c r="L9" s="30" t="n">
        <x:f>L7*L8</x:f>
        <x:v>45700</x:v>
      </x:c>
      <x:c r="M9" s="30" t="n">
        <x:f>M7*M8</x:f>
        <x:v>50000</x:v>
      </x:c>
    </x:row>
    <x:row r="10">
      <x:c r="A10" s="24" t="str">
        <x:v>Platform fee %</x:v>
      </x:c>
      <x:c r="B10" s="38" t="n">
        <x:f>Assumptions!$B$2</x:f>
        <x:v>0.08</x:v>
      </x:c>
      <x:c r="C10" s="38" t="n">
        <x:f>Assumptions!$B$2</x:f>
        <x:v>0.08</x:v>
      </x:c>
      <x:c r="D10" s="38" t="n">
        <x:f>Assumptions!$B$2</x:f>
        <x:v>0.08</x:v>
      </x:c>
      <x:c r="E10" s="38" t="n">
        <x:f>Assumptions!$B$2</x:f>
        <x:v>0.08</x:v>
      </x:c>
      <x:c r="F10" s="38" t="n">
        <x:f>Assumptions!$B$2</x:f>
        <x:v>0.08</x:v>
      </x:c>
      <x:c r="G10" s="38" t="n">
        <x:f>Assumptions!$B$2</x:f>
        <x:v>0.08</x:v>
      </x:c>
      <x:c r="H10" s="38" t="n">
        <x:f>Assumptions!$B$2</x:f>
        <x:v>0.08</x:v>
      </x:c>
      <x:c r="I10" s="38" t="n">
        <x:f>Assumptions!$B$2</x:f>
        <x:v>0.08</x:v>
      </x:c>
      <x:c r="J10" s="38" t="n">
        <x:f>Assumptions!$B$2</x:f>
        <x:v>0.08</x:v>
      </x:c>
      <x:c r="K10" s="38" t="n">
        <x:f>Assumptions!$B$2</x:f>
        <x:v>0.08</x:v>
      </x:c>
      <x:c r="L10" s="38" t="n">
        <x:f>Assumptions!$B$2</x:f>
        <x:v>0.08</x:v>
      </x:c>
      <x:c r="M10" s="38" t="n">
        <x:f>Assumptions!$B$2</x:f>
        <x:v>0.08</x:v>
      </x:c>
    </x:row>
    <x:row r="11">
      <x:c r="A11" s="24" t="str">
        <x:v>Revenue</x:v>
      </x:c>
      <x:c r="B11" s="30" t="n">
        <x:f>B9*B10</x:f>
        <x:v>200</x:v>
      </x:c>
      <x:c r="C11" s="30" t="n">
        <x:f>C9*C10</x:f>
        <x:v>544</x:v>
      </x:c>
      <x:c r="D11" s="30" t="n">
        <x:f>D9*D10</x:f>
        <x:v>888</x:v>
      </x:c>
      <x:c r="E11" s="30" t="n">
        <x:f>E9*E10</x:f>
        <x:v>1240</x:v>
      </x:c>
      <x:c r="F11" s="30" t="n">
        <x:f>F9*F10</x:f>
        <x:v>1584</x:v>
      </x:c>
      <x:c r="G11" s="30" t="n">
        <x:f>G9*G10</x:f>
        <x:v>1928</x:v>
      </x:c>
      <x:c r="H11" s="30" t="n">
        <x:f>H9*H10</x:f>
        <x:v>2272</x:v>
      </x:c>
      <x:c r="I11" s="30" t="n">
        <x:f>I9*I10</x:f>
        <x:v>2616</x:v>
      </x:c>
      <x:c r="J11" s="30" t="n">
        <x:f>J9*J10</x:f>
        <x:v>2960</x:v>
      </x:c>
      <x:c r="K11" s="30" t="n">
        <x:f>K9*K10</x:f>
        <x:v>3312</x:v>
      </x:c>
      <x:c r="L11" s="30" t="n">
        <x:f>L9*L10</x:f>
        <x:v>3656</x:v>
      </x:c>
      <x:c r="M11" s="30" t="n">
        <x:f>M9*M10</x:f>
        <x:v>4000</x:v>
      </x:c>
    </x:row>
    <x:row r="12">
      <x:c r="A12" s="24" t="str">
        <x:v>Payment processing variable fee</x:v>
      </x:c>
      <x:c r="B12" s="38" t="n">
        <x:f>Assumptions!$B$8</x:f>
        <x:v>0.029</x:v>
      </x:c>
      <x:c r="C12" s="38" t="n">
        <x:f>Assumptions!$B$8</x:f>
        <x:v>0.029</x:v>
      </x:c>
      <x:c r="D12" s="38" t="n">
        <x:f>Assumptions!$B$8</x:f>
        <x:v>0.029</x:v>
      </x:c>
      <x:c r="E12" s="38" t="n">
        <x:f>Assumptions!$B$8</x:f>
        <x:v>0.029</x:v>
      </x:c>
      <x:c r="F12" s="38" t="n">
        <x:f>Assumptions!$B$8</x:f>
        <x:v>0.029</x:v>
      </x:c>
      <x:c r="G12" s="38" t="n">
        <x:f>Assumptions!$B$8</x:f>
        <x:v>0.029</x:v>
      </x:c>
      <x:c r="H12" s="38" t="n">
        <x:f>Assumptions!$B$8</x:f>
        <x:v>0.029</x:v>
      </x:c>
      <x:c r="I12" s="38" t="n">
        <x:f>Assumptions!$B$8</x:f>
        <x:v>0.029</x:v>
      </x:c>
      <x:c r="J12" s="38" t="n">
        <x:f>Assumptions!$B$8</x:f>
        <x:v>0.029</x:v>
      </x:c>
      <x:c r="K12" s="38" t="n">
        <x:f>Assumptions!$B$8</x:f>
        <x:v>0.029</x:v>
      </x:c>
      <x:c r="L12" s="38" t="n">
        <x:f>Assumptions!$B$8</x:f>
        <x:v>0.029</x:v>
      </x:c>
      <x:c r="M12" s="38" t="n">
        <x:f>Assumptions!$B$8</x:f>
        <x:v>0.029</x:v>
      </x:c>
    </x:row>
    <x:row r="13">
      <x:c r="A13" s="24" t="str">
        <x:v>Payment processing fixed fee</x:v>
      </x:c>
      <x:c r="B13" s="30" t="n">
        <x:f>B7*Assumptions!$B$9</x:f>
        <x:v>50</x:v>
      </x:c>
      <x:c r="C13" s="30" t="n">
        <x:f>C7*Assumptions!$B$9</x:f>
        <x:v>136</x:v>
      </x:c>
      <x:c r="D13" s="30" t="n">
        <x:f>D7*Assumptions!$B$9</x:f>
        <x:v>222</x:v>
      </x:c>
      <x:c r="E13" s="30" t="n">
        <x:f>E7*Assumptions!$B$9</x:f>
        <x:v>310</x:v>
      </x:c>
      <x:c r="F13" s="30" t="n">
        <x:f>F7*Assumptions!$B$9</x:f>
        <x:v>396</x:v>
      </x:c>
      <x:c r="G13" s="30" t="n">
        <x:f>G7*Assumptions!$B$9</x:f>
        <x:v>482</x:v>
      </x:c>
      <x:c r="H13" s="30" t="n">
        <x:f>H7*Assumptions!$B$9</x:f>
        <x:v>568</x:v>
      </x:c>
      <x:c r="I13" s="30" t="n">
        <x:f>I7*Assumptions!$B$9</x:f>
        <x:v>654</x:v>
      </x:c>
      <x:c r="J13" s="30" t="n">
        <x:f>J7*Assumptions!$B$9</x:f>
        <x:v>740</x:v>
      </x:c>
      <x:c r="K13" s="30" t="n">
        <x:f>K7*Assumptions!$B$9</x:f>
        <x:v>828</x:v>
      </x:c>
      <x:c r="L13" s="30" t="n">
        <x:f>L7*Assumptions!$B$9</x:f>
        <x:v>914</x:v>
      </x:c>
      <x:c r="M13" s="30" t="n">
        <x:f>M7*Assumptions!$B$9</x:f>
        <x:v>1000</x:v>
      </x:c>
    </x:row>
    <x:row r="14">
      <x:c r="A14" s="24" t="str">
        <x:v>Total variable cost</x:v>
      </x:c>
      <x:c r="B14" s="30" t="n">
        <x:f>B9*B12+B13</x:f>
        <x:v>122.5</x:v>
      </x:c>
      <x:c r="C14" s="30" t="n">
        <x:f>C9*C12+C13</x:f>
        <x:v>333.20000000000005</x:v>
      </x:c>
      <x:c r="D14" s="30" t="n">
        <x:f>D9*D12+D13</x:f>
        <x:v>543.9000000000001</x:v>
      </x:c>
      <x:c r="E14" s="30" t="n">
        <x:f>E9*E12+E13</x:f>
        <x:v>759.5</x:v>
      </x:c>
      <x:c r="F14" s="30" t="n">
        <x:f>F9*F12+F13</x:f>
        <x:v>970.2</x:v>
      </x:c>
      <x:c r="G14" s="30" t="n">
        <x:f>G9*G12+G13</x:f>
        <x:v>1180.9</x:v>
      </x:c>
      <x:c r="H14" s="30" t="n">
        <x:f>H9*H12+H13</x:f>
        <x:v>1391.6</x:v>
      </x:c>
      <x:c r="I14" s="30" t="n">
        <x:f>I9*I12+I13</x:f>
        <x:v>1602.3000000000002</x:v>
      </x:c>
      <x:c r="J14" s="30" t="n">
        <x:f>J9*J12+J13</x:f>
        <x:v>1813</x:v>
      </x:c>
      <x:c r="K14" s="30" t="n">
        <x:f>K9*K12+K13</x:f>
        <x:v>2028.6000000000001</x:v>
      </x:c>
      <x:c r="L14" s="30" t="n">
        <x:f>L9*L12+L13</x:f>
        <x:v>2239.3</x:v>
      </x:c>
      <x:c r="M14" s="30" t="n">
        <x:f>M9*M12+M13</x:f>
        <x:v>2450</x:v>
      </x:c>
    </x:row>
    <x:row r="15">
      <x:c r="A15" s="24" t="str">
        <x:v>Gross profit</x:v>
      </x:c>
      <x:c r="B15" s="30" t="n">
        <x:f>B11-B14</x:f>
        <x:v>77.5</x:v>
      </x:c>
      <x:c r="C15" s="30" t="n">
        <x:f>C11-C14</x:f>
        <x:v>210.79999999999995</x:v>
      </x:c>
      <x:c r="D15" s="30" t="n">
        <x:f>D11-D14</x:f>
        <x:v>344.0999999999999</x:v>
      </x:c>
      <x:c r="E15" s="30" t="n">
        <x:f>E11-E14</x:f>
        <x:v>480.5</x:v>
      </x:c>
      <x:c r="F15" s="30" t="n">
        <x:f>F11-F14</x:f>
        <x:v>613.8</x:v>
      </x:c>
      <x:c r="G15" s="30" t="n">
        <x:f>G11-G14</x:f>
        <x:v>747.0999999999999</x:v>
      </x:c>
      <x:c r="H15" s="30" t="n">
        <x:f>H11-H14</x:f>
        <x:v>880.4000000000001</x:v>
      </x:c>
      <x:c r="I15" s="30" t="n">
        <x:f>I11-I14</x:f>
        <x:v>1013.6999999999998</x:v>
      </x:c>
      <x:c r="J15" s="30" t="n">
        <x:f>J11-J14</x:f>
        <x:v>1147</x:v>
      </x:c>
      <x:c r="K15" s="30" t="n">
        <x:f>K11-K14</x:f>
        <x:v>1283.3999999999999</x:v>
      </x:c>
      <x:c r="L15" s="30" t="n">
        <x:f>L11-L14</x:f>
        <x:v>1416.6999999999998</x:v>
      </x:c>
      <x:c r="M15" s="30" t="n">
        <x:f>M11-M14</x:f>
        <x:v>1550</x:v>
      </x:c>
    </x:row>
    <x:row r="16">
      <x:c r="A16" s="24" t="str">
        <x:v>Gross margin</x:v>
      </x:c>
      <x:c r="B16" s="32" t="n">
        <x:f>IFERROR(B15/B11,0)</x:f>
        <x:v>0.3875</x:v>
      </x:c>
      <x:c r="C16" s="32" t="n">
        <x:f>IFERROR(C15/C11,0)</x:f>
        <x:v>0.3874999999999999</x:v>
      </x:c>
      <x:c r="D16" s="32" t="n">
        <x:f>IFERROR(D15/D11,0)</x:f>
        <x:v>0.3874999999999999</x:v>
      </x:c>
      <x:c r="E16" s="32" t="n">
        <x:f>IFERROR(E15/E11,0)</x:f>
        <x:v>0.3875</x:v>
      </x:c>
      <x:c r="F16" s="32" t="n">
        <x:f>IFERROR(F15/F11,0)</x:f>
        <x:v>0.38749999999999996</x:v>
      </x:c>
      <x:c r="G16" s="32" t="n">
        <x:f>IFERROR(G15/G11,0)</x:f>
        <x:v>0.38749999999999996</x:v>
      </x:c>
      <x:c r="H16" s="32" t="n">
        <x:f>IFERROR(H15/H11,0)</x:f>
        <x:v>0.38750000000000007</x:v>
      </x:c>
      <x:c r="I16" s="32" t="n">
        <x:f>IFERROR(I15/I11,0)</x:f>
        <x:v>0.38749999999999996</x:v>
      </x:c>
      <x:c r="J16" s="32" t="n">
        <x:f>IFERROR(J15/J11,0)</x:f>
        <x:v>0.3875</x:v>
      </x:c>
      <x:c r="K16" s="32" t="n">
        <x:f>IFERROR(K15/K11,0)</x:f>
        <x:v>0.38749999999999996</x:v>
      </x:c>
      <x:c r="L16" s="32" t="n">
        <x:f>IFERROR(L15/L11,0)</x:f>
        <x:v>0.38749999999999996</x:v>
      </x:c>
      <x:c r="M16" s="32" t="n">
        <x:f>IFERROR(M15/M11,0)</x:f>
        <x:v>0.3875</x:v>
      </x:c>
    </x:row>
    <x:row r="17">
      <x:c r="A17" s="24" t="str">
        <x:v>Creator additions required</x:v>
      </x:c>
      <x:c r="B17" s="28" t="n">
        <x:f>B5</x:f>
        <x:v>25</x:v>
      </x:c>
      <x:c r="C17" s="28" t="n">
        <x:f>MAX(C5-B5*(1-Assumptions!$B$7),0)</x:f>
        <x:v>44.25</x:v>
      </x:c>
      <x:c r="D17" s="28" t="n">
        <x:f>MAX(D5-C5*(1-Assumptions!$B$7),0)</x:f>
        <x:v>46.400000000000006</x:v>
      </x:c>
      <x:c r="E17" s="28" t="n">
        <x:f>MAX(E5-D5*(1-Assumptions!$B$7),0)</x:f>
        <x:v>49.55000000000001</x:v>
      </x:c>
      <x:c r="F17" s="28" t="n">
        <x:f>MAX(F5-E5*(1-Assumptions!$B$7),0)</x:f>
        <x:v>50.75</x:v>
      </x:c>
      <x:c r="G17" s="28" t="n">
        <x:f>MAX(G5-F5*(1-Assumptions!$B$7),0)</x:f>
        <x:v>52.900000000000006</x:v>
      </x:c>
      <x:c r="H17" s="28" t="n">
        <x:f>MAX(H5-G5*(1-Assumptions!$B$7),0)</x:f>
        <x:v>55.05000000000001</x:v>
      </x:c>
      <x:c r="I17" s="28" t="n">
        <x:f>MAX(I5-H5*(1-Assumptions!$B$7),0)</x:f>
        <x:v>57.19999999999999</x:v>
      </x:c>
      <x:c r="J17" s="28" t="n">
        <x:f>MAX(J5-I5*(1-Assumptions!$B$7),0)</x:f>
        <x:v>59.35000000000002</x:v>
      </x:c>
      <x:c r="K17" s="28" t="n">
        <x:f>MAX(K5-J5*(1-Assumptions!$B$7),0)</x:f>
        <x:v>62.5</x:v>
      </x:c>
      <x:c r="L17" s="28" t="n">
        <x:f>MAX(L5-K5*(1-Assumptions!$B$7),0)</x:f>
        <x:v>63.700000000000045</x:v>
      </x:c>
      <x:c r="M17" s="28" t="n">
        <x:f>MAX(M5-L5*(1-Assumptions!$B$7),0)</x:f>
        <x:v>65.85000000000002</x:v>
      </x:c>
    </x:row>
    <x:row r="18">
      <x:c r="A18" s="24" t="str">
        <x:v>Marketing spend</x:v>
      </x:c>
      <x:c r="B18" s="36" t="n">
        <x:f>Assumptions!$B$11</x:f>
        <x:v>100</x:v>
      </x:c>
      <x:c r="C18" s="36" t="n">
        <x:f>Assumptions!$B$11</x:f>
        <x:v>100</x:v>
      </x:c>
      <x:c r="D18" s="36" t="n">
        <x:f>Assumptions!$B$11</x:f>
        <x:v>100</x:v>
      </x:c>
      <x:c r="E18" s="36" t="n">
        <x:f>Assumptions!$B$11</x:f>
        <x:v>100</x:v>
      </x:c>
      <x:c r="F18" s="36" t="n">
        <x:f>Assumptions!$B$11</x:f>
        <x:v>100</x:v>
      </x:c>
      <x:c r="G18" s="36" t="n">
        <x:f>Assumptions!$B$11</x:f>
        <x:v>100</x:v>
      </x:c>
      <x:c r="H18" s="36" t="n">
        <x:f>Assumptions!$B$11</x:f>
        <x:v>100</x:v>
      </x:c>
      <x:c r="I18" s="36" t="n">
        <x:f>Assumptions!$B$11</x:f>
        <x:v>100</x:v>
      </x:c>
      <x:c r="J18" s="36" t="n">
        <x:f>Assumptions!$B$11</x:f>
        <x:v>100</x:v>
      </x:c>
      <x:c r="K18" s="36" t="n">
        <x:f>Assumptions!$B$11</x:f>
        <x:v>100</x:v>
      </x:c>
      <x:c r="L18" s="36" t="n">
        <x:f>Assumptions!$B$11</x:f>
        <x:v>100</x:v>
      </x:c>
      <x:c r="M18" s="36" t="n">
        <x:f>Assumptions!$B$11</x:f>
        <x:v>100</x:v>
      </x:c>
    </x:row>
    <x:row r="19">
      <x:c r="A19" s="24" t="str">
        <x:v>Implied CAC</x:v>
      </x:c>
      <x:c r="B19" s="30" t="n">
        <x:f>IFERROR(B18/B17,0)</x:f>
        <x:v>4</x:v>
      </x:c>
      <x:c r="C19" s="30" t="n">
        <x:f>IFERROR(C18/C17,0)</x:f>
        <x:v>2.2598870056497176</x:v>
      </x:c>
      <x:c r="D19" s="30" t="n">
        <x:f>IFERROR(D18/D17,0)</x:f>
        <x:v>2.155172413793103</x:v>
      </x:c>
      <x:c r="E19" s="30" t="n">
        <x:f>IFERROR(E18/E17,0)</x:f>
        <x:v>2.01816347124117</x:v>
      </x:c>
      <x:c r="F19" s="30" t="n">
        <x:f>IFERROR(F18/F17,0)</x:f>
        <x:v>1.9704433497536946</x:v>
      </x:c>
      <x:c r="G19" s="30" t="n">
        <x:f>IFERROR(G18/G17,0)</x:f>
        <x:v>1.8903591682419658</x:v>
      </x:c>
      <x:c r="H19" s="30" t="n">
        <x:f>IFERROR(H18/H17,0)</x:f>
        <x:v>1.81653042688465</x:v>
      </x:c>
      <x:c r="I19" s="30" t="n">
        <x:f>IFERROR(I18/I17,0)</x:f>
        <x:v>1.7482517482517486</x:v>
      </x:c>
      <x:c r="J19" s="30" t="n">
        <x:f>IFERROR(J18/J17,0)</x:f>
        <x:v>1.6849199663016001</x:v>
      </x:c>
      <x:c r="K19" s="30" t="n">
        <x:f>IFERROR(K18/K17,0)</x:f>
        <x:v>1.6</x:v>
      </x:c>
      <x:c r="L19" s="30" t="n">
        <x:f>IFERROR(L18/L17,0)</x:f>
        <x:v>1.5698587127158545</x:v>
      </x:c>
      <x:c r="M19" s="30" t="n">
        <x:f>IFERROR(M18/M17,0)</x:f>
        <x:v>1.5186028853454816</x:v>
      </x:c>
    </x:row>
    <x:row r="20">
      <x:c r="A20" s="24" t="str">
        <x:v>Hosting / tools</x:v>
      </x:c>
      <x:c r="B20" s="36" t="n">
        <x:f>Assumptions!$B$10</x:f>
        <x:v>60</x:v>
      </x:c>
      <x:c r="C20" s="36" t="n">
        <x:f>Assumptions!$B$10</x:f>
        <x:v>60</x:v>
      </x:c>
      <x:c r="D20" s="36" t="n">
        <x:f>Assumptions!$B$10</x:f>
        <x:v>60</x:v>
      </x:c>
      <x:c r="E20" s="36" t="n">
        <x:f>Assumptions!$B$10</x:f>
        <x:v>60</x:v>
      </x:c>
      <x:c r="F20" s="36" t="n">
        <x:f>Assumptions!$B$10</x:f>
        <x:v>60</x:v>
      </x:c>
      <x:c r="G20" s="36" t="n">
        <x:f>Assumptions!$B$10</x:f>
        <x:v>60</x:v>
      </x:c>
      <x:c r="H20" s="36" t="n">
        <x:f>Assumptions!$B$10</x:f>
        <x:v>60</x:v>
      </x:c>
      <x:c r="I20" s="36" t="n">
        <x:f>Assumptions!$B$10</x:f>
        <x:v>60</x:v>
      </x:c>
      <x:c r="J20" s="36" t="n">
        <x:f>Assumptions!$B$10</x:f>
        <x:v>60</x:v>
      </x:c>
      <x:c r="K20" s="36" t="n">
        <x:f>Assumptions!$B$10</x:f>
        <x:v>60</x:v>
      </x:c>
      <x:c r="L20" s="36" t="n">
        <x:f>Assumptions!$B$10</x:f>
        <x:v>60</x:v>
      </x:c>
      <x:c r="M20" s="36" t="n">
        <x:f>Assumptions!$B$10</x:f>
        <x:v>60</x:v>
      </x:c>
    </x:row>
    <x:row r="21">
      <x:c r="A21" s="24" t="str">
        <x:v>Support / ops</x:v>
      </x:c>
      <x:c r="B21" s="36" t="n">
        <x:f>Assumptions!$B$12</x:f>
        <x:v>150</x:v>
      </x:c>
      <x:c r="C21" s="36" t="n">
        <x:f>Assumptions!$B$12</x:f>
        <x:v>150</x:v>
      </x:c>
      <x:c r="D21" s="36" t="n">
        <x:f>Assumptions!$B$12</x:f>
        <x:v>150</x:v>
      </x:c>
      <x:c r="E21" s="36" t="n">
        <x:f>Assumptions!$B$12</x:f>
        <x:v>150</x:v>
      </x:c>
      <x:c r="F21" s="36" t="n">
        <x:f>Assumptions!$B$12</x:f>
        <x:v>150</x:v>
      </x:c>
      <x:c r="G21" s="36" t="n">
        <x:f>Assumptions!$B$12</x:f>
        <x:v>150</x:v>
      </x:c>
      <x:c r="H21" s="36" t="n">
        <x:f>Assumptions!$B$12</x:f>
        <x:v>150</x:v>
      </x:c>
      <x:c r="I21" s="36" t="n">
        <x:f>Assumptions!$B$12</x:f>
        <x:v>150</x:v>
      </x:c>
      <x:c r="J21" s="36" t="n">
        <x:f>Assumptions!$B$12</x:f>
        <x:v>150</x:v>
      </x:c>
      <x:c r="K21" s="36" t="n">
        <x:f>Assumptions!$B$12</x:f>
        <x:v>150</x:v>
      </x:c>
      <x:c r="L21" s="36" t="n">
        <x:f>Assumptions!$B$12</x:f>
        <x:v>150</x:v>
      </x:c>
      <x:c r="M21" s="36" t="n">
        <x:f>Assumptions!$B$12</x:f>
        <x:v>150</x:v>
      </x:c>
    </x:row>
    <x:row r="22">
      <x:c r="A22" s="24" t="str">
        <x:v>Total operating expenses</x:v>
      </x:c>
      <x:c r="B22" s="30" t="n">
        <x:f>SUM(B18:B21)</x:f>
        <x:v>314</x:v>
      </x:c>
      <x:c r="C22" s="30" t="n">
        <x:f>SUM(C18:C21)</x:f>
        <x:v>312.2598870056497</x:v>
      </x:c>
      <x:c r="D22" s="30" t="n">
        <x:f>SUM(D18:D21)</x:f>
        <x:v>312.15517241379314</x:v>
      </x:c>
      <x:c r="E22" s="30" t="n">
        <x:f>SUM(E18:E21)</x:f>
        <x:v>312.01816347124117</x:v>
      </x:c>
      <x:c r="F22" s="30" t="n">
        <x:f>SUM(F18:F21)</x:f>
        <x:v>311.9704433497537</x:v>
      </x:c>
      <x:c r="G22" s="30" t="n">
        <x:f>SUM(G18:G21)</x:f>
        <x:v>311.89035916824196</x:v>
      </x:c>
      <x:c r="H22" s="30" t="n">
        <x:f>SUM(H18:H21)</x:f>
        <x:v>311.81653042688464</x:v>
      </x:c>
      <x:c r="I22" s="30" t="n">
        <x:f>SUM(I18:I21)</x:f>
        <x:v>311.74825174825173</x:v>
      </x:c>
      <x:c r="J22" s="30" t="n">
        <x:f>SUM(J18:J21)</x:f>
        <x:v>311.6849199663016</x:v>
      </x:c>
      <x:c r="K22" s="30" t="n">
        <x:f>SUM(K18:K21)</x:f>
        <x:v>311.6</x:v>
      </x:c>
      <x:c r="L22" s="30" t="n">
        <x:f>SUM(L18:L21)</x:f>
        <x:v>311.56985871271587</x:v>
      </x:c>
      <x:c r="M22" s="30" t="n">
        <x:f>SUM(M18:M21)</x:f>
        <x:v>311.5186028853455</x:v>
      </x:c>
    </x:row>
    <x:row r="23">
      <x:c r="A23" s="24" t="str">
        <x:v>Operating profit / loss</x:v>
      </x:c>
      <x:c r="B23" s="30" t="n">
        <x:f>B15-B22</x:f>
        <x:v>-236.5</x:v>
      </x:c>
      <x:c r="C23" s="30" t="n">
        <x:f>C15-C22</x:f>
        <x:v>-101.45988700564976</x:v>
      </x:c>
      <x:c r="D23" s="30" t="n">
        <x:f>D15-D22</x:f>
        <x:v>31.94482758620677</x:v>
      </x:c>
      <x:c r="E23" s="30" t="n">
        <x:f>E15-E22</x:f>
        <x:v>168.48183652875883</x:v>
      </x:c>
      <x:c r="F23" s="30" t="n">
        <x:f>F15-F22</x:f>
        <x:v>301.8295566502463</x:v>
      </x:c>
      <x:c r="G23" s="30" t="n">
        <x:f>G15-G22</x:f>
        <x:v>435.20964083175795</x:v>
      </x:c>
      <x:c r="H23" s="30" t="n">
        <x:f>H15-H22</x:f>
        <x:v>568.5834695731155</x:v>
      </x:c>
      <x:c r="I23" s="30" t="n">
        <x:f>I15-I22</x:f>
        <x:v>701.9517482517481</x:v>
      </x:c>
      <x:c r="J23" s="30" t="n">
        <x:f>J15-J22</x:f>
        <x:v>835.3150800336985</x:v>
      </x:c>
      <x:c r="K23" s="30" t="n">
        <x:f>K15-K22</x:f>
        <x:v>971.7999999999998</x:v>
      </x:c>
      <x:c r="L23" s="30" t="n">
        <x:f>L15-L22</x:f>
        <x:v>1105.130141287284</x:v>
      </x:c>
      <x:c r="M23" s="30" t="n">
        <x:f>M15-M22</x:f>
        <x:v>1238.4813971146546</x:v>
      </x:c>
    </x:row>
    <x:row r="24">
      <x:c r="A24" s="24" t="str">
        <x:v>Cumulative profit / loss</x:v>
      </x:c>
      <x:c r="B24" s="30" t="n">
        <x:f>SUM($B$23:B23)</x:f>
        <x:v>-236.5</x:v>
      </x:c>
      <x:c r="C24" s="30" t="n">
        <x:f>SUM($B$23:C23)</x:f>
        <x:v>-337.95988700564976</x:v>
      </x:c>
      <x:c r="D24" s="30" t="n">
        <x:f>SUM($B$23:D23)</x:f>
        <x:v>-306.015059419443</x:v>
      </x:c>
      <x:c r="E24" s="30" t="n">
        <x:f>SUM($B$23:E23)</x:f>
        <x:v>-137.53322289068416</x:v>
      </x:c>
      <x:c r="F24" s="30" t="n">
        <x:f>SUM($B$23:F23)</x:f>
        <x:v>164.29633375956212</x:v>
      </x:c>
      <x:c r="G24" s="30" t="n">
        <x:f>SUM($B$23:G23)</x:f>
        <x:v>599.5059745913201</x:v>
      </x:c>
      <x:c r="H24" s="30" t="n">
        <x:f>SUM($B$23:H23)</x:f>
        <x:v>1168.0894441644355</x:v>
      </x:c>
      <x:c r="I24" s="30" t="n">
        <x:f>SUM($B$23:I23)</x:f>
        <x:v>1870.0411924161835</x:v>
      </x:c>
      <x:c r="J24" s="30" t="n">
        <x:f>SUM($B$23:J23)</x:f>
        <x:v>2705.356272449882</x:v>
      </x:c>
      <x:c r="K24" s="30" t="n">
        <x:f>SUM($B$23:K23)</x:f>
        <x:v>3677.1562724498817</x:v>
      </x:c>
      <x:c r="L24" s="30" t="n">
        <x:f>SUM($B$23:L23)</x:f>
        <x:v>4782.286413737165</x:v>
      </x:c>
      <x:c r="M24" s="30" t="n">
        <x:f>SUM($B$23:M23)</x:f>
        <x:v>6020.767810851819</x:v>
      </x:c>
    </x:row>
    <x:row r="25">
      <x:c r="A25" s="24"/>
    </x:row>
    <x:row r="26">
      <x:c r="A26" s="3" t="str">
        <x:v>Totals / Exit Run Rate</x:v>
      </x:c>
      <x:c r="B26" s="3" t="str"/>
      <x:c r="C26" s="3" t="str"/>
      <x:c r="D26" s="3" t="str"/>
      <x:c r="E26" s="3" t="str"/>
      <x:c r="F26" s="3" t="str"/>
      <x:c r="G26" s="3" t="str"/>
      <x:c r="H26" s="3" t="str"/>
      <x:c r="I26" s="3" t="str"/>
      <x:c r="J26" s="3" t="str"/>
      <x:c r="K26" s="3" t="str"/>
      <x:c r="L26" s="3" t="str"/>
      <x:c r="M26" s="3" t="str"/>
    </x:row>
    <x:row r="27">
      <x:c r="A27" s="24" t="str">
        <x:v>Total GMV</x:v>
      </x:c>
      <x:c r="B27" s="30" t="n">
        <x:f>SUM(B9:M9)</x:f>
        <x:v>315000</x:v>
      </x:c>
    </x:row>
    <x:row r="28">
      <x:c r="A28" s="24" t="str">
        <x:v>Total Revenue</x:v>
      </x:c>
      <x:c r="B28" s="30" t="n">
        <x:f>SUM(B11:M11)</x:f>
        <x:v>25200</x:v>
      </x:c>
    </x:row>
    <x:row r="29">
      <x:c r="A29" s="24" t="str">
        <x:v>Total Gross Profit</x:v>
      </x:c>
      <x:c r="B29" s="30" t="n">
        <x:f>SUM(B15:M15)</x:f>
        <x:v>9765</x:v>
      </x:c>
    </x:row>
    <x:row r="30">
      <x:c r="A30" s="24" t="str">
        <x:v>Total Opex</x:v>
      </x:c>
      <x:c r="B30" s="30" t="n">
        <x:f>SUM(B22:M22)</x:f>
        <x:v>3744.232189148179</x:v>
      </x:c>
    </x:row>
    <x:row r="31">
      <x:c r="A31" s="24" t="str">
        <x:v>Total Operating Profit/Loss</x:v>
      </x:c>
      <x:c r="B31" s="30" t="n">
        <x:f>SUM(B23:M23)</x:f>
        <x:v>6020.767810851819</x:v>
      </x:c>
    </x:row>
    <x:row r="32">
      <x:c r="A32" s="24" t="str">
        <x:v>Month 12 Revenue Run Rate</x:v>
      </x:c>
      <x:c r="B32" s="30" t="n">
        <x:f>M11*12</x:f>
        <x:v>48000</x:v>
      </x:c>
    </x:row>
    <x:row r="33">
      <x:c r="A33" s="24" t="str">
        <x:v>Month 12 Active Creators</x:v>
      </x:c>
      <x:c r="B33" s="28" t="n">
        <x:f>M5</x:f>
        <x:v>500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6.80999755859375" hidden="0" customWidth="1"/>
    <x:col min="2" max="2" width="6.730000019073486" hidden="0" customWidth="1"/>
  </x:cols>
  <x:sheetData>
    <x:row r="1">
      <x:c r="A1" s="15" t="str">
        <x:v>Musa Financial Dashboard</x:v>
      </x:c>
      <x:c r="B1" t="str"/>
      <x:c r="C1" t="str"/>
      <x:c r="D1" t="str"/>
      <x:c r="E1" t="str"/>
      <x:c r="F1" t="str"/>
      <x:c r="G1" t="str"/>
      <x:c r="H1" t="str"/>
    </x:row>
    <x:row r="3">
      <x:c r="A3" s="20" t="str">
        <x:v>KPI</x:v>
      </x:c>
      <x:c r="B3" s="20" t="str">
        <x:v>Value</x:v>
      </x:c>
    </x:row>
    <x:row r="4">
      <x:c r="A4" s="24" t="str">
        <x:v>12-month GMV</x:v>
      </x:c>
      <x:c r="B4" s="30" t="n">
        <x:f>'12-Month Model'!B27</x:f>
        <x:v>315000</x:v>
      </x:c>
    </x:row>
    <x:row r="5">
      <x:c r="A5" s="24" t="str">
        <x:v>12-month revenue</x:v>
      </x:c>
      <x:c r="B5" s="30" t="n">
        <x:f>'12-Month Model'!B28</x:f>
        <x:v>25200</x:v>
      </x:c>
    </x:row>
    <x:row r="6">
      <x:c r="A6" s="24" t="str">
        <x:v>12-month gross profit</x:v>
      </x:c>
      <x:c r="B6" s="30" t="n">
        <x:f>'12-Month Model'!B29</x:f>
        <x:v>9765</x:v>
      </x:c>
    </x:row>
    <x:row r="7">
      <x:c r="A7" s="24" t="str">
        <x:v>12-month operating profit/loss</x:v>
      </x:c>
      <x:c r="B7" s="30" t="n">
        <x:f>'12-Month Model'!B31</x:f>
        <x:v>6020.767810851819</x:v>
      </x:c>
    </x:row>
    <x:row r="8">
      <x:c r="A8" s="24" t="str">
        <x:v>Month 12 active creators</x:v>
      </x:c>
      <x:c r="B8" s="28" t="n">
        <x:f>'12-Month Model'!B33</x:f>
        <x:v>500</x:v>
      </x:c>
    </x:row>
    <x:row r="9">
      <x:c r="A9" s="24" t="str">
        <x:v>Month 12 revenue run rate</x:v>
      </x:c>
      <x:c r="B9" s="30" t="n">
        <x:f>'12-Month Model'!B32</x:f>
        <x:v>48000</x:v>
      </x:c>
    </x:row>
    <x:row r="10">
      <x:c r="A10" s="24" t="str">
        <x:v>Platform take rate</x:v>
      </x:c>
      <x:c r="B10" s="32" t="n">
        <x:f>Assumptions!B2</x:f>
        <x:v>0.08</x:v>
      </x:c>
    </x:row>
    <x:row r="12">
      <x:c r="A12" s="3" t="str">
        <x:v>Notes</x:v>
      </x:c>
    </x:row>
    <x:row r="13">
      <x:c r="A13" t="str">
        <x:v>This model is formula-driven and intended for the required file path: 04-gtm/financials/12-month-model.xlsx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Blue values in Assumptions are editable inputs. Green cells in the model pull from Assumptions.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Update placeholders such as payment fees, marketing budget, and CAC after experiments.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Revenue = GMV × platform fee. GMV = active creators × orders per creator × AOV.</x:v>
      </x:c>
      <x:c r="B16" t="str"/>
      <x:c r="C16" t="str"/>
      <x:c r="D16" t="str"/>
      <x:c r="E16" t="str"/>
      <x:c r="F16" t="str"/>
      <x:c r="G16" t="str"/>
      <x:c r="H16" t="str"/>
    </x:row>
  </x:sheetData>
  <x:mergeCells>
    <x:mergeCell ref="A1:H1"/>
    <x:mergeCell ref="A13:H13"/>
    <x:mergeCell ref="A14:H14"/>
    <x:mergeCell ref="A15:H15"/>
    <x:mergeCell ref="A16:H16"/>
  </x:mergeCells>
  <x:pageMargins left="0.7" right="0.7" top="0.75" bottom="0.75" header="0.3" footer="0.3"/>
  <x:drawing xmlns:r="http://schemas.openxmlformats.org/officeDocument/2006/relationships" r:id="R2fc5e552bdd5420f"/>
</x:worksheet>
</file>