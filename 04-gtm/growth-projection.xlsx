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lculations" sheetId="2" state="visible" r:id="rId4"/>
    <sheet name="Out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<sst xmlns="http://schemas.openxmlformats.org/spreadsheetml/2006/main" count="184" uniqueCount="99">
  <si>
    <t xml:space="preserve">Inputs — yellow cells are editable assumptions</t>
  </si>
  <si>
    <t xml:space="preserve">Tab purpose: All model assumptions. Change yellow cells to adjust projections.</t>
  </si>
  <si>
    <t xml:space="preserve">  SCENARIO TOGGLE</t>
  </si>
  <si>
    <t xml:space="preserve">Active Scenario  (1 = Worst   2 = Expected   3 = Best)</t>
  </si>
  <si>
    <t xml:space="preserve">← Change this cell to switch all scenarios</t>
  </si>
  <si>
    <t xml:space="preserve">  ACQUISITION CHANNELS — Monthly Cash Spend ($)</t>
  </si>
  <si>
    <t xml:space="preserve">Channel</t>
  </si>
  <si>
    <t xml:space="preserve">Type</t>
  </si>
  <si>
    <t xml:space="preserve">Monthly Spend ($)</t>
  </si>
  <si>
    <t xml:space="preserve">Notes</t>
  </si>
  <si>
    <t xml:space="preserve">Instagram / TikTok Organic</t>
  </si>
  <si>
    <t xml:space="preserve">Organic</t>
  </si>
  <si>
    <t xml:space="preserve">Source: Assumption. $0 cash; ~20hr/mo founder time. Primary channel where Georgian handmade creators already spend time.</t>
  </si>
  <si>
    <t xml:space="preserve">Craft Community Seeding</t>
  </si>
  <si>
    <t xml:space="preserve">Source: Assumption. FB groups, Reddit r/crafts, local maker communities. $50/mo = sponsored posts + minimal tooling.</t>
  </si>
  <si>
    <t xml:space="preserve">Referral Program</t>
  </si>
  <si>
    <t xml:space="preserve">Viral</t>
  </si>
  <si>
    <t xml:space="preserve">Source: Assumption. $30/mo referral incentive budget (small discounts for referring sellers). K-factor est. 0.3.</t>
  </si>
  <si>
    <t xml:space="preserve">  CONVERSION ASSUMPTIONS</t>
  </si>
  <si>
    <t xml:space="preserve">Metric</t>
  </si>
  <si>
    <t xml:space="preserve">Worst Case</t>
  </si>
  <si>
    <t xml:space="preserve">Expected Case</t>
  </si>
  <si>
    <t xml:space="preserve">Best Case</t>
  </si>
  <si>
    <t xml:space="preserve">Source / Rationale</t>
  </si>
  <si>
    <t xml:space="preserve">Monthly new visitors (all channels, combined)</t>
  </si>
  <si>
    <t xml:space="preserve">Assumption. Validated via 2-wk experiment (23 Apr–7 May). Scale up from baseline.</t>
  </si>
  <si>
    <t xml:space="preserve">Signup conversion rate</t>
  </si>
  <si>
    <t xml:space="preserve">Industry benchmark: Mailchimp 2024 report = 1.8–7% for tech/creator tools. We use 4–12%.</t>
  </si>
  <si>
    <t xml:space="preserve">Activation rate (reach aha moment)</t>
  </si>
  <si>
    <t xml:space="preserve">Internal target: aha = creator lists first product for sale.</t>
  </si>
  <si>
    <t xml:space="preserve">D30 retention rate</t>
  </si>
  <si>
    <t xml:space="preserve">Assumption. Freemium creator tools benchmark: 25–40% D30 (Source: Lenny's Newsletter 2024).</t>
  </si>
  <si>
    <t xml:space="preserve">ARPU per month ($) — freemium→paid estimate</t>
  </si>
  <si>
    <t xml:space="preserve">MVP is free. $2.50–5 reflects 5–10% paid conversion at $25–50/mo plan.</t>
  </si>
  <si>
    <t xml:space="preserve">Gross margin</t>
  </si>
  <si>
    <t xml:space="preserve">SaaS typical 70–85%. No hardware. Hosting cost ~$20/mo fixed.</t>
  </si>
  <si>
    <t xml:space="preserve">Avg customer lifetime (months)</t>
  </si>
  <si>
    <t xml:space="preserve">Conservative. Handmade seller seasonal pattern; expect 6–18 mo avg engagement.</t>
  </si>
  <si>
    <t xml:space="preserve">Month-over-month visitor growth rate</t>
  </si>
  <si>
    <t xml:space="preserve">Organic growth expected as content compounds. 12% MoM = ~2.5x in 6 months.</t>
  </si>
  <si>
    <t xml:space="preserve">  CHANNEL VISITOR SPLIT (must sum to 100%)</t>
  </si>
  <si>
    <t xml:space="preserve">% of total visitors</t>
  </si>
  <si>
    <t xml:space="preserve">Total (must equal 100%)</t>
  </si>
  <si>
    <t xml:space="preserve">Calculations — do not edit manually</t>
  </si>
  <si>
    <t xml:space="preserve">Tab purpose: Monthly cohort model. Rows 4-16 = scenario helper values. Main model starts row 18.</t>
  </si>
  <si>
    <t xml:space="preserve">  SCENARIO HELPER (auto-picks from Inputs based on scenario toggle)</t>
  </si>
  <si>
    <t xml:space="preserve">Assumption</t>
  </si>
  <si>
    <t xml:space="preserve">Active Value (from scenario)</t>
  </si>
  <si>
    <t xml:space="preserve">Note</t>
  </si>
  <si>
    <t xml:space="preserve">Green = cross-sheet formula</t>
  </si>
  <si>
    <t xml:space="preserve">Channel split: Instagram / TikTok Organic</t>
  </si>
  <si>
    <t xml:space="preserve">Channel split: Craft Community Seeding</t>
  </si>
  <si>
    <t xml:space="preserve">Channel split: Referral Program</t>
  </si>
  <si>
    <t xml:space="preserve">Monthly spend: Instagram / TikTok Organic</t>
  </si>
  <si>
    <t xml:space="preserve">Monthly spend: Craft Community Seeding</t>
  </si>
  <si>
    <t xml:space="preserve">Monthly spend: Referral Program</t>
  </si>
  <si>
    <t xml:space="preserve">  MONTHLY COHORT MODEL  (rows 22 onward)</t>
  </si>
  <si>
    <t xml:space="preserve">  CHANNEL 1: Instagram / TikTok Organic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</si>
  <si>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</si>
  <si>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</si>
  <si>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</si>
  <si>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</si>
  <si>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</si>
  <si>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</si>
  <si>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Formula</t>
  </si>
  <si>
    <t xml:space="preserve">Visitors</t>
  </si>
  <si>
    <t xml:space="preserve">Visitors_base × split × (1+growth)^(month-1)</t>
  </si>
  <si>
    <t xml:space="preserve">Signups</t>
  </si>
  <si>
    <t xml:space="preserve">Visitors × signup_conv</t>
  </si>
  <si>
    <t xml:space="preserve">Activated Users</t>
  </si>
  <si>
    <t xml:space="preserve">Signups × activation_rate</t>
  </si>
  <si>
    <t xml:space="preserve">Retained D30</t>
  </si>
  <si>
    <t xml:space="preserve">Activated × D30_retention</t>
  </si>
  <si>
    <t xml:space="preserve">Fixed monthly spend from Inputs</t>
  </si>
  <si>
    <t xml:space="preserve">CAC ($)</t>
  </si>
  <si>
    <t xml:space="preserve">Spend / Signups  (IFERROR 0)</t>
  </si>
  <si>
    <t xml:space="preserve">LTV ($)</t>
  </si>
  <si>
    <t xml:space="preserve">ARPU × gross_margin × lifetime</t>
  </si>
  <si>
    <t xml:space="preserve">  CHANNEL 2: Craft Community Seeding</t>
  </si>
  <si>
    <t xml:space="preserve">  CHANNEL 3: Referral Program</t>
  </si>
  <si>
    <t xml:space="preserve">  CUMULATIVE RETAINED USERS — ALL CHANNELS COMBINED</t>
  </si>
  <si>
    <t xml:space="preserve">Cumulative Retained Users</t>
  </si>
  <si>
    <t xml:space="preserve">Outputs — Summary &amp; Chart</t>
  </si>
  <si>
    <t xml:space="preserve">Tab purpose: Scenario comparison, monthly snapshot for active scenario, stress test result, and growth chart.</t>
  </si>
  <si>
    <t xml:space="preserve">  SCENARIO COMPARISON — Month 6 Snapshot</t>
  </si>
  <si>
    <t xml:space="preserve">Scenario</t>
  </si>
  <si>
    <t xml:space="preserve">M6 Cum. Users (est.)</t>
  </si>
  <si>
    <t xml:space="preserve">Blended CAC ($)</t>
  </si>
  <si>
    <t xml:space="preserve">LTV:CAC</t>
  </si>
  <si>
    <t xml:space="preserve">Payback (mo)</t>
  </si>
  <si>
    <t xml:space="preserve">  ACTIVE SCENARIO — Monthly Snapshot (change Inputs!B5 to switch)</t>
  </si>
  <si>
    <t xml:space="preserve">  ↳ Instagram / TikTok Organic</t>
  </si>
  <si>
    <t xml:space="preserve">  ↳ Craft Community Seeding</t>
  </si>
  <si>
    <t xml:space="preserve">  ↳ Referral Program</t>
  </si>
  <si>
    <t xml:space="preserve">  STRESS TEST — Instagram conversion rate halved</t>
  </si>
  <si>
    <t xml:space="preserve">Normal signup conv (active scenario):</t>
  </si>
  <si>
    <t xml:space="preserve">Stressed conv (halved):</t>
  </si>
  <si>
    <t xml:space="preserve">M6 cumulative users at stressed conv:</t>
  </si>
  <si>
    <t xml:space="preserve">Finding: Halving Instagram conversion drops M6 users by ~30%. Validates channel diversification strategy.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</si>
</sst>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;&quot;($&quot;#,##0\);\-"/>
    <numFmt numFmtId="167" formatCode="#,##0;\(#,##0\);\-"/>
    <numFmt numFmtId="168" formatCode="0.0%;\(0.0%\);\-"/>
    <numFmt numFmtId="169" formatCode="0.0\x"/>
    <numFmt numFmtId="170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Nemesis – Cumulative Retained Users (Active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Retained Users"</c:f>
              <c:strCache>
                <c:ptCount val="1"/>
                <c:pt idx="0">
                  <c:v>Cumulative Retained Users</c:v>
                </c:pt>
              </c:strCache>
            </c:strRef>
          </c:tx>
          <c:spPr>
            <a:solidFill>
              <a:srgbClr val="4a7ebb"/>
            </a:solidFill>
            <a:ln w="2808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Outputs!$B$13</c:f>
              <c:numCache>
                <c:formatCode>#,##0;\(#,##0\);\-</c:formatCode>
                <c:ptCount val="1"/>
                <c:pt idx="0">
                  <c:v>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Outputs!$C$13</c:f>
              <c:numCache>
                <c:formatCode>#,##0;\(#,##0\);\-</c:formatCode>
                <c:ptCount val="1"/>
                <c:pt idx="0">
                  <c:v>10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Outputs!$D$13</c:f>
              <c:numCache>
                <c:formatCode>#,##0;\(#,##0\);\-</c:formatCode>
                <c:ptCount val="1"/>
                <c:pt idx="0">
                  <c:v>17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Outputs!$E$13</c:f>
              <c:numCache>
                <c:formatCode>#,##0;\(#,##0\);\-</c:formatCode>
                <c:ptCount val="1"/>
                <c:pt idx="0">
                  <c:v>24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Outputs!$F$13</c:f>
              <c:numCache>
                <c:formatCode>#,##0;\(#,##0\);\-</c:formatCode>
                <c:ptCount val="1"/>
                <c:pt idx="0">
                  <c:v>32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59240"/>
            </a:solidFill>
            <a:ln w="4752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Outputs!$G$13</c:f>
              <c:numCache>
                <c:formatCode>#,##0;\(#,##0\);\-</c:formatCode>
                <c:ptCount val="1"/>
                <c:pt idx="0">
                  <c:v>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338364"/>
        <c:axId val="31910112"/>
      </c:lineChart>
      <c:catAx>
        <c:axId val="543383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10112"/>
        <c:crosses val="autoZero"/>
        <c:auto val="1"/>
        <c:lblAlgn val="ctr"/>
        <c:lblOffset val="100"/>
        <c:noMultiLvlLbl val="0"/>
      </c:catAx>
      <c:valAx>
        <c:axId val="31910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383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78120</xdr:rowOff>
    </xdr:from>
    <xdr:to>
      <xdr:col>5</xdr:col>
      <xdr:colOff>291960</xdr:colOff>
      <xdr:row>43</xdr:row>
      <xdr:rowOff>37440</xdr:rowOff>
    </xdr:to>
    <xdr:graphicFrame>
      <xdr:nvGraphicFramePr>
        <xdr:cNvPr id="0" name="Chart 1"/>
        <xdr:cNvGraphicFramePr/>
      </xdr:nvGraphicFramePr>
      <xdr:xfrm>
        <a:off x="0" y="438156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  <col collapsed="false" customWidth="true" hidden="false" outlineLevel="0" max="5" min="5" style="0" width="44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23.85" hidden="false" customHeight="true" outlineLevel="0" collapsed="false">
      <c r="A5" s="4" t="s">
        <v>3</v>
      </c>
      <c r="B5" s="5" t="n">
        <v>2</v>
      </c>
      <c r="C5" s="6" t="s">
        <v>4</v>
      </c>
      <c r="D5" s="6"/>
      <c r="E5" s="6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7" t="s">
        <v>6</v>
      </c>
      <c r="B8" s="7" t="s">
        <v>7</v>
      </c>
      <c r="C8" s="7" t="s">
        <v>8</v>
      </c>
      <c r="D8" s="7" t="s">
        <v>9</v>
      </c>
    </row>
    <row r="9" customFormat="false" ht="19.4" hidden="false" customHeight="true" outlineLevel="0" collapsed="false">
      <c r="A9" s="4" t="s">
        <v>10</v>
      </c>
      <c r="B9" s="4" t="s">
        <v>11</v>
      </c>
      <c r="C9" s="8" t="n">
        <v>0</v>
      </c>
      <c r="D9" s="9" t="s">
        <v>12</v>
      </c>
      <c r="E9" s="9"/>
    </row>
    <row r="10" customFormat="false" ht="19.4" hidden="false" customHeight="true" outlineLevel="0" collapsed="false">
      <c r="A10" s="4" t="s">
        <v>13</v>
      </c>
      <c r="B10" s="4" t="s">
        <v>11</v>
      </c>
      <c r="C10" s="8" t="n">
        <v>50</v>
      </c>
      <c r="D10" s="9" t="s">
        <v>14</v>
      </c>
      <c r="E10" s="9"/>
    </row>
    <row r="11" customFormat="false" ht="19.4" hidden="false" customHeight="true" outlineLevel="0" collapsed="false">
      <c r="A11" s="4" t="s">
        <v>15</v>
      </c>
      <c r="B11" s="4" t="s">
        <v>16</v>
      </c>
      <c r="C11" s="8" t="n">
        <v>30</v>
      </c>
      <c r="D11" s="9" t="s">
        <v>17</v>
      </c>
      <c r="E11" s="9"/>
    </row>
    <row r="13" customFormat="false" ht="15" hidden="false" customHeight="true" outlineLevel="0" collapsed="false">
      <c r="A13" s="3" t="s">
        <v>18</v>
      </c>
      <c r="B13" s="3"/>
      <c r="C13" s="3"/>
      <c r="D13" s="3"/>
      <c r="E13" s="3"/>
    </row>
    <row r="14" customFormat="false" ht="15" hidden="false" customHeight="false" outlineLevel="0" collapsed="false">
      <c r="A14" s="7" t="s">
        <v>19</v>
      </c>
      <c r="B14" s="7" t="s">
        <v>20</v>
      </c>
      <c r="C14" s="7" t="s">
        <v>21</v>
      </c>
      <c r="D14" s="7" t="s">
        <v>22</v>
      </c>
      <c r="E14" s="7" t="s">
        <v>23</v>
      </c>
    </row>
    <row r="15" customFormat="false" ht="23.85" hidden="false" customHeight="false" outlineLevel="0" collapsed="false">
      <c r="A15" s="4" t="s">
        <v>24</v>
      </c>
      <c r="B15" s="10" t="n">
        <v>200</v>
      </c>
      <c r="C15" s="10" t="n">
        <v>450</v>
      </c>
      <c r="D15" s="10" t="n">
        <v>900</v>
      </c>
      <c r="E15" s="9" t="s">
        <v>25</v>
      </c>
    </row>
    <row r="16" customFormat="false" ht="19.4" hidden="false" customHeight="false" outlineLevel="0" collapsed="false">
      <c r="A16" s="4" t="s">
        <v>26</v>
      </c>
      <c r="B16" s="11" t="n">
        <v>0.04</v>
      </c>
      <c r="C16" s="11" t="n">
        <v>0.07</v>
      </c>
      <c r="D16" s="11" t="n">
        <v>0.12</v>
      </c>
      <c r="E16" s="9" t="s">
        <v>27</v>
      </c>
    </row>
    <row r="17" customFormat="false" ht="15" hidden="false" customHeight="false" outlineLevel="0" collapsed="false">
      <c r="A17" s="4" t="s">
        <v>28</v>
      </c>
      <c r="B17" s="11" t="n">
        <v>0.3</v>
      </c>
      <c r="C17" s="11" t="n">
        <v>0.45</v>
      </c>
      <c r="D17" s="11" t="n">
        <v>0.6</v>
      </c>
      <c r="E17" s="9" t="s">
        <v>29</v>
      </c>
    </row>
    <row r="18" customFormat="false" ht="19.4" hidden="false" customHeight="false" outlineLevel="0" collapsed="false">
      <c r="A18" s="4" t="s">
        <v>30</v>
      </c>
      <c r="B18" s="11" t="n">
        <v>0.2</v>
      </c>
      <c r="C18" s="11" t="n">
        <v>0.35</v>
      </c>
      <c r="D18" s="11" t="n">
        <v>0.5</v>
      </c>
      <c r="E18" s="9" t="s">
        <v>31</v>
      </c>
    </row>
    <row r="19" customFormat="false" ht="23.85" hidden="false" customHeight="false" outlineLevel="0" collapsed="false">
      <c r="A19" s="4" t="s">
        <v>32</v>
      </c>
      <c r="B19" s="8" t="n">
        <v>0</v>
      </c>
      <c r="C19" s="8" t="n">
        <v>2.5</v>
      </c>
      <c r="D19" s="8" t="n">
        <v>5</v>
      </c>
      <c r="E19" s="9" t="s">
        <v>33</v>
      </c>
    </row>
    <row r="20" customFormat="false" ht="19.4" hidden="false" customHeight="false" outlineLevel="0" collapsed="false">
      <c r="A20" s="4" t="s">
        <v>34</v>
      </c>
      <c r="B20" s="11" t="n">
        <v>0.7</v>
      </c>
      <c r="C20" s="11" t="n">
        <v>0.8</v>
      </c>
      <c r="D20" s="11" t="n">
        <v>0.85</v>
      </c>
      <c r="E20" s="9" t="s">
        <v>35</v>
      </c>
    </row>
    <row r="21" customFormat="false" ht="19.4" hidden="false" customHeight="false" outlineLevel="0" collapsed="false">
      <c r="A21" s="4" t="s">
        <v>36</v>
      </c>
      <c r="B21" s="10" t="n">
        <v>6</v>
      </c>
      <c r="C21" s="10" t="n">
        <v>10</v>
      </c>
      <c r="D21" s="10" t="n">
        <v>18</v>
      </c>
      <c r="E21" s="9" t="s">
        <v>37</v>
      </c>
    </row>
    <row r="22" customFormat="false" ht="19.4" hidden="false" customHeight="false" outlineLevel="0" collapsed="false">
      <c r="A22" s="4" t="s">
        <v>38</v>
      </c>
      <c r="B22" s="11" t="n">
        <v>0.05</v>
      </c>
      <c r="C22" s="11" t="n">
        <v>0.12</v>
      </c>
      <c r="D22" s="11" t="n">
        <v>0.2</v>
      </c>
      <c r="E22" s="9" t="s">
        <v>39</v>
      </c>
    </row>
    <row r="24" customFormat="false" ht="15" hidden="false" customHeight="true" outlineLevel="0" collapsed="false">
      <c r="A24" s="3" t="s">
        <v>40</v>
      </c>
      <c r="B24" s="3"/>
      <c r="C24" s="3"/>
      <c r="D24" s="3"/>
      <c r="E24" s="3"/>
    </row>
    <row r="25" customFormat="false" ht="15" hidden="false" customHeight="false" outlineLevel="0" collapsed="false">
      <c r="A25" s="7" t="s">
        <v>6</v>
      </c>
      <c r="B25" s="7" t="s">
        <v>41</v>
      </c>
    </row>
    <row r="26" customFormat="false" ht="15" hidden="false" customHeight="false" outlineLevel="0" collapsed="false">
      <c r="A26" s="4" t="s">
        <v>10</v>
      </c>
      <c r="B26" s="11" t="n">
        <v>0.6</v>
      </c>
    </row>
    <row r="27" customFormat="false" ht="15" hidden="false" customHeight="false" outlineLevel="0" collapsed="false">
      <c r="A27" s="4" t="s">
        <v>13</v>
      </c>
      <c r="B27" s="11" t="n">
        <v>0.25</v>
      </c>
    </row>
    <row r="28" customFormat="false" ht="15" hidden="false" customHeight="false" outlineLevel="0" collapsed="false">
      <c r="A28" s="4" t="s">
        <v>15</v>
      </c>
      <c r="B28" s="11" t="n">
        <v>0.15</v>
      </c>
    </row>
    <row r="29" customFormat="false" ht="15" hidden="false" customHeight="false" outlineLevel="0" collapsed="false">
      <c r="A29" s="12" t="s">
        <v>42</v>
      </c>
      <c r="B29" s="13" t="n">
        <f aca="false">SUM(B26:B28)</f>
        <v>1</v>
      </c>
    </row>
  </sheetData>
  <mergeCells count="8">
    <mergeCell ref="A4:E4"/>
    <mergeCell ref="C5:E5"/>
    <mergeCell ref="A7:E7"/>
    <mergeCell ref="D9:E9"/>
    <mergeCell ref="D10:E10"/>
    <mergeCell ref="D11:E11"/>
    <mergeCell ref="A13:E1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true" outlineLevel="0" collapsed="false">
      <c r="A4" s="3" t="s">
        <v>45</v>
      </c>
      <c r="B4" s="3"/>
      <c r="C4" s="3"/>
    </row>
    <row r="5" customFormat="false" ht="15" hidden="false" customHeight="false" outlineLevel="0" collapsed="false">
      <c r="A5" s="7" t="s">
        <v>46</v>
      </c>
      <c r="B5" s="7" t="s">
        <v>47</v>
      </c>
      <c r="C5" s="7" t="s">
        <v>48</v>
      </c>
    </row>
    <row r="6" customFormat="false" ht="23.85" hidden="false" customHeight="false" outlineLevel="0" collapsed="false">
      <c r="A6" s="4" t="s">
        <v>24</v>
      </c>
      <c r="B6" s="14" t="n">
        <f aca="false">CHOOSE(Inputs!$B$5,Inputs!B15,Inputs!C15,Inputs!D15)</f>
        <v>450</v>
      </c>
      <c r="C6" s="9" t="s">
        <v>49</v>
      </c>
    </row>
    <row r="7" customFormat="false" ht="19.4" hidden="false" customHeight="false" outlineLevel="0" collapsed="false">
      <c r="A7" s="4" t="s">
        <v>26</v>
      </c>
      <c r="B7" s="15" t="n">
        <f aca="false">CHOOSE(Inputs!$B$5,Inputs!B16,Inputs!C16,Inputs!D16)</f>
        <v>0.07</v>
      </c>
      <c r="C7" s="9" t="s">
        <v>49</v>
      </c>
    </row>
    <row r="8" customFormat="false" ht="19.4" hidden="false" customHeight="false" outlineLevel="0" collapsed="false">
      <c r="A8" s="4" t="s">
        <v>28</v>
      </c>
      <c r="B8" s="15" t="n">
        <f aca="false">CHOOSE(Inputs!$B$5,Inputs!B17,Inputs!C17,Inputs!D17)</f>
        <v>0.45</v>
      </c>
      <c r="C8" s="9" t="s">
        <v>49</v>
      </c>
    </row>
    <row r="9" customFormat="false" ht="19.4" hidden="false" customHeight="false" outlineLevel="0" collapsed="false">
      <c r="A9" s="4" t="s">
        <v>30</v>
      </c>
      <c r="B9" s="15" t="n">
        <f aca="false">CHOOSE(Inputs!$B$5,Inputs!B18,Inputs!C18,Inputs!D18)</f>
        <v>0.35</v>
      </c>
      <c r="C9" s="9" t="s">
        <v>49</v>
      </c>
    </row>
    <row r="10" customFormat="false" ht="23.85" hidden="false" customHeight="false" outlineLevel="0" collapsed="false">
      <c r="A10" s="4" t="s">
        <v>32</v>
      </c>
      <c r="B10" s="16" t="n">
        <f aca="false">CHOOSE(Inputs!$B$5,Inputs!B19,Inputs!C19,Inputs!D19)</f>
        <v>2.5</v>
      </c>
      <c r="C10" s="9" t="s">
        <v>49</v>
      </c>
    </row>
    <row r="11" customFormat="false" ht="19.4" hidden="false" customHeight="false" outlineLevel="0" collapsed="false">
      <c r="A11" s="4" t="s">
        <v>34</v>
      </c>
      <c r="B11" s="15" t="n">
        <f aca="false">CHOOSE(Inputs!$B$5,Inputs!B20,Inputs!C20,Inputs!D20)</f>
        <v>0.8</v>
      </c>
      <c r="C11" s="9" t="s">
        <v>49</v>
      </c>
    </row>
    <row r="12" customFormat="false" ht="19.4" hidden="false" customHeight="false" outlineLevel="0" collapsed="false">
      <c r="A12" s="4" t="s">
        <v>36</v>
      </c>
      <c r="B12" s="14" t="n">
        <f aca="false">CHOOSE(Inputs!$B$5,Inputs!B21,Inputs!C21,Inputs!D21)</f>
        <v>10</v>
      </c>
      <c r="C12" s="9" t="s">
        <v>49</v>
      </c>
    </row>
    <row r="13" customFormat="false" ht="23.85" hidden="false" customHeight="false" outlineLevel="0" collapsed="false">
      <c r="A13" s="4" t="s">
        <v>38</v>
      </c>
      <c r="B13" s="15" t="n">
        <f aca="false">CHOOSE(Inputs!$B$5,Inputs!B22,Inputs!C22,Inputs!D22)</f>
        <v>0.12</v>
      </c>
      <c r="C13" s="9" t="s">
        <v>49</v>
      </c>
    </row>
    <row r="14" customFormat="false" ht="23.85" hidden="false" customHeight="false" outlineLevel="0" collapsed="false">
      <c r="A14" s="4" t="s">
        <v>50</v>
      </c>
      <c r="B14" s="15" t="n">
        <f aca="false">Inputs!B26</f>
        <v>0.6</v>
      </c>
    </row>
    <row r="15" customFormat="false" ht="23.85" hidden="false" customHeight="false" outlineLevel="0" collapsed="false">
      <c r="A15" s="4" t="s">
        <v>51</v>
      </c>
      <c r="B15" s="15" t="n">
        <f aca="false">Inputs!B27</f>
        <v>0.25</v>
      </c>
    </row>
    <row r="16" customFormat="false" ht="15" hidden="false" customHeight="false" outlineLevel="0" collapsed="false">
      <c r="A16" s="4" t="s">
        <v>52</v>
      </c>
      <c r="B16" s="15" t="n">
        <f aca="false">Inputs!B28</f>
        <v>0.15</v>
      </c>
    </row>
    <row r="17" customFormat="false" ht="23.85" hidden="false" customHeight="false" outlineLevel="0" collapsed="false">
      <c r="A17" s="4" t="s">
        <v>53</v>
      </c>
      <c r="B17" s="16" t="n">
        <f aca="false">Inputs!C9</f>
        <v>0</v>
      </c>
    </row>
    <row r="18" customFormat="false" ht="23.85" hidden="false" customHeight="false" outlineLevel="0" collapsed="false">
      <c r="A18" s="4" t="s">
        <v>54</v>
      </c>
      <c r="B18" s="16" t="n">
        <f aca="false">Inputs!C10</f>
        <v>50</v>
      </c>
    </row>
    <row r="19" customFormat="false" ht="15" hidden="false" customHeight="false" outlineLevel="0" collapsed="false">
      <c r="A19" s="4" t="s">
        <v>55</v>
      </c>
      <c r="B19" s="16" t="n">
        <f aca="false">Inputs!C11</f>
        <v>30</v>
      </c>
    </row>
    <row r="21" customFormat="false" ht="15" hidden="false" customHeight="true" outlineLevel="0" collapsed="false">
      <c r="A21" s="3" t="s">
        <v>56</v>
      </c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3" t="s">
        <v>57</v>
      </c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 t="s">
        <v>19</v>
      </c>
      <c r="B23" s="7" t="s">
        <v>58</v>
      </c>
      <c r="C23" s="7" t="s">
        <v>59</v>
      </c>
      <c r="D23" s="7" t="s">
        <v>60</v>
      </c>
      <c r="E23" s="7" t="s">
        <v>61</v>
      </c>
      <c r="F23" s="7" t="s">
        <v>62</v>
      </c>
      <c r="G23" s="7" t="s">
        <v>63</v>
      </c>
      <c r="H23" s="9" t="s">
        <v>64</v>
      </c>
    </row>
    <row r="24" customFormat="false" ht="37.3" hidden="false" customHeight="false" outlineLevel="0" collapsed="false">
      <c r="A24" s="4" t="s">
        <v>65</v>
      </c>
      <c r="B24" s="17" t="n">
        <f aca="false">ROUND(Calculations!$B$6*Calculations!$B$14*(1+Calculations!$B$13)^0,0)</f>
        <v>270</v>
      </c>
      <c r="C24" s="17" t="n">
        <f aca="false">ROUND(Calculations!$B$6*Calculations!$B$14*(1+Calculations!$B$13)^1,0)</f>
        <v>302</v>
      </c>
      <c r="D24" s="17" t="n">
        <f aca="false">ROUND(Calculations!$B$6*Calculations!$B$14*(1+Calculations!$B$13)^2,0)</f>
        <v>339</v>
      </c>
      <c r="E24" s="17" t="n">
        <f aca="false">ROUND(Calculations!$B$6*Calculations!$B$14*(1+Calculations!$B$13)^3,0)</f>
        <v>379</v>
      </c>
      <c r="F24" s="17" t="n">
        <f aca="false">ROUND(Calculations!$B$6*Calculations!$B$14*(1+Calculations!$B$13)^4,0)</f>
        <v>425</v>
      </c>
      <c r="G24" s="17" t="n">
        <f aca="false">ROUND(Calculations!$B$6*Calculations!$B$14*(1+Calculations!$B$13)^5,0)</f>
        <v>476</v>
      </c>
      <c r="H24" s="9" t="s">
        <v>66</v>
      </c>
    </row>
    <row r="25" customFormat="false" ht="19.4" hidden="false" customHeight="false" outlineLevel="0" collapsed="false">
      <c r="A25" s="4" t="s">
        <v>67</v>
      </c>
      <c r="B25" s="17" t="n">
        <f aca="false">ROUND(B24*Calculations!$B$7,0)</f>
        <v>19</v>
      </c>
      <c r="C25" s="17" t="n">
        <f aca="false">ROUND(C24*Calculations!$B$7,0)</f>
        <v>21</v>
      </c>
      <c r="D25" s="17" t="n">
        <f aca="false">ROUND(D24*Calculations!$B$7,0)</f>
        <v>24</v>
      </c>
      <c r="E25" s="17" t="n">
        <f aca="false">ROUND(E24*Calculations!$B$7,0)</f>
        <v>27</v>
      </c>
      <c r="F25" s="17" t="n">
        <f aca="false">ROUND(F24*Calculations!$B$7,0)</f>
        <v>30</v>
      </c>
      <c r="G25" s="17" t="n">
        <f aca="false">ROUND(G24*Calculations!$B$7,0)</f>
        <v>33</v>
      </c>
      <c r="H25" s="9" t="s">
        <v>68</v>
      </c>
    </row>
    <row r="26" customFormat="false" ht="19.4" hidden="false" customHeight="false" outlineLevel="0" collapsed="false">
      <c r="A26" s="4" t="s">
        <v>69</v>
      </c>
      <c r="B26" s="17" t="n">
        <f aca="false">ROUND(B25*Calculations!$B$8,0)</f>
        <v>9</v>
      </c>
      <c r="C26" s="17" t="n">
        <f aca="false">ROUND(C25*Calculations!$B$8,0)</f>
        <v>9</v>
      </c>
      <c r="D26" s="17" t="n">
        <f aca="false">ROUND(D25*Calculations!$B$8,0)</f>
        <v>11</v>
      </c>
      <c r="E26" s="17" t="n">
        <f aca="false">ROUND(E25*Calculations!$B$8,0)</f>
        <v>12</v>
      </c>
      <c r="F26" s="17" t="n">
        <f aca="false">ROUND(F25*Calculations!$B$8,0)</f>
        <v>14</v>
      </c>
      <c r="G26" s="17" t="n">
        <f aca="false">ROUND(G25*Calculations!$B$8,0)</f>
        <v>15</v>
      </c>
      <c r="H26" s="9" t="s">
        <v>70</v>
      </c>
    </row>
    <row r="27" customFormat="false" ht="19.4" hidden="false" customHeight="false" outlineLevel="0" collapsed="false">
      <c r="A27" s="4" t="s">
        <v>71</v>
      </c>
      <c r="B27" s="17" t="n">
        <f aca="false">ROUND(B26*Calculations!$B$9,0)</f>
        <v>3</v>
      </c>
      <c r="C27" s="17" t="n">
        <f aca="false">ROUND(C26*Calculations!$B$9,0)</f>
        <v>3</v>
      </c>
      <c r="D27" s="17" t="n">
        <f aca="false">ROUND(D26*Calculations!$B$9,0)</f>
        <v>4</v>
      </c>
      <c r="E27" s="17" t="n">
        <f aca="false">ROUND(E26*Calculations!$B$9,0)</f>
        <v>4</v>
      </c>
      <c r="F27" s="17" t="n">
        <f aca="false">ROUND(F26*Calculations!$B$9,0)</f>
        <v>5</v>
      </c>
      <c r="G27" s="17" t="n">
        <f aca="false">ROUND(G26*Calculations!$B$9,0)</f>
        <v>5</v>
      </c>
      <c r="H27" s="9" t="s">
        <v>72</v>
      </c>
    </row>
    <row r="28" customFormat="false" ht="19.4" hidden="false" customHeight="false" outlineLevel="0" collapsed="false">
      <c r="A28" s="4" t="s">
        <v>8</v>
      </c>
      <c r="B28" s="18" t="n">
        <f aca="false">Calculations!$B$17</f>
        <v>0</v>
      </c>
      <c r="C28" s="18" t="n">
        <f aca="false">Calculations!$B$17</f>
        <v>0</v>
      </c>
      <c r="D28" s="18" t="n">
        <f aca="false">Calculations!$B$17</f>
        <v>0</v>
      </c>
      <c r="E28" s="18" t="n">
        <f aca="false">Calculations!$B$17</f>
        <v>0</v>
      </c>
      <c r="F28" s="18" t="n">
        <f aca="false">Calculations!$B$17</f>
        <v>0</v>
      </c>
      <c r="G28" s="18" t="n">
        <f aca="false">Calculations!$B$17</f>
        <v>0</v>
      </c>
      <c r="H28" s="9" t="s">
        <v>73</v>
      </c>
    </row>
    <row r="29" customFormat="false" ht="19.4" hidden="false" customHeight="false" outlineLevel="0" collapsed="false">
      <c r="A29" s="4" t="s">
        <v>74</v>
      </c>
      <c r="B29" s="18" t="n">
        <f aca="false">IFERROR(B28/B25,0)</f>
        <v>0</v>
      </c>
      <c r="C29" s="18" t="n">
        <f aca="false">IFERROR(C28/C25,0)</f>
        <v>0</v>
      </c>
      <c r="D29" s="18" t="n">
        <f aca="false">IFERROR(D28/D25,0)</f>
        <v>0</v>
      </c>
      <c r="E29" s="18" t="n">
        <f aca="false">IFERROR(E28/E25,0)</f>
        <v>0</v>
      </c>
      <c r="F29" s="18" t="n">
        <f aca="false">IFERROR(F28/F25,0)</f>
        <v>0</v>
      </c>
      <c r="G29" s="18" t="n">
        <f aca="false">IFERROR(G28/G25,0)</f>
        <v>0</v>
      </c>
      <c r="H29" s="9" t="s">
        <v>75</v>
      </c>
    </row>
    <row r="30" customFormat="false" ht="28.35" hidden="false" customHeight="false" outlineLevel="0" collapsed="false">
      <c r="A30" s="4" t="s">
        <v>76</v>
      </c>
      <c r="B30" s="18" t="n">
        <f aca="false">Calculations!$B$10*Calculations!$B$11*Calculations!$B$12</f>
        <v>20</v>
      </c>
      <c r="C30" s="18" t="n">
        <f aca="false">Calculations!$B$10*Calculations!$B$11*Calculations!$B$12</f>
        <v>20</v>
      </c>
      <c r="D30" s="18" t="n">
        <f aca="false">Calculations!$B$10*Calculations!$B$11*Calculations!$B$12</f>
        <v>20</v>
      </c>
      <c r="E30" s="18" t="n">
        <f aca="false">Calculations!$B$10*Calculations!$B$11*Calculations!$B$12</f>
        <v>20</v>
      </c>
      <c r="F30" s="18" t="n">
        <f aca="false">Calculations!$B$10*Calculations!$B$11*Calculations!$B$12</f>
        <v>20</v>
      </c>
      <c r="G30" s="18" t="n">
        <f aca="false">Calculations!$B$10*Calculations!$B$11*Calculations!$B$12</f>
        <v>20</v>
      </c>
      <c r="H30" s="9" t="s">
        <v>77</v>
      </c>
    </row>
    <row r="33" customFormat="false" ht="15" hidden="false" customHeight="true" outlineLevel="0" collapsed="false">
      <c r="A33" s="3" t="s">
        <v>78</v>
      </c>
      <c r="B33" s="3"/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3" t="s">
        <v>19</v>
      </c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9" t="s">
        <v>64</v>
      </c>
    </row>
    <row r="35" customFormat="false" ht="37.3" hidden="false" customHeight="false" outlineLevel="0" collapsed="false">
      <c r="A35" s="4" t="s">
        <v>65</v>
      </c>
      <c r="B35" s="17" t="n">
        <f aca="false">ROUND(Calculations!$B$6*Calculations!$B$15*(1+Calculations!$B$13)^0,0)</f>
        <v>113</v>
      </c>
      <c r="C35" s="17" t="n">
        <f aca="false">ROUND(Calculations!$B$6*Calculations!$B$15*(1+Calculations!$B$13)^1,0)</f>
        <v>126</v>
      </c>
      <c r="D35" s="17" t="n">
        <f aca="false">ROUND(Calculations!$B$6*Calculations!$B$15*(1+Calculations!$B$13)^2,0)</f>
        <v>141</v>
      </c>
      <c r="E35" s="17" t="n">
        <f aca="false">ROUND(Calculations!$B$6*Calculations!$B$15*(1+Calculations!$B$13)^3,0)</f>
        <v>158</v>
      </c>
      <c r="F35" s="17" t="n">
        <f aca="false">ROUND(Calculations!$B$6*Calculations!$B$15*(1+Calculations!$B$13)^4,0)</f>
        <v>177</v>
      </c>
      <c r="G35" s="17" t="n">
        <f aca="false">ROUND(Calculations!$B$6*Calculations!$B$15*(1+Calculations!$B$13)^5,0)</f>
        <v>198</v>
      </c>
      <c r="H35" s="9" t="s">
        <v>66</v>
      </c>
    </row>
    <row r="36" customFormat="false" ht="19.4" hidden="false" customHeight="false" outlineLevel="0" collapsed="false">
      <c r="A36" s="4" t="s">
        <v>67</v>
      </c>
      <c r="B36" s="17" t="n">
        <f aca="false">ROUND(B35*Calculations!$B$7,0)</f>
        <v>8</v>
      </c>
      <c r="C36" s="17" t="n">
        <f aca="false">ROUND(C35*Calculations!$B$7,0)</f>
        <v>9</v>
      </c>
      <c r="D36" s="17" t="n">
        <f aca="false">ROUND(D35*Calculations!$B$7,0)</f>
        <v>10</v>
      </c>
      <c r="E36" s="17" t="n">
        <f aca="false">ROUND(E35*Calculations!$B$7,0)</f>
        <v>11</v>
      </c>
      <c r="F36" s="17" t="n">
        <f aca="false">ROUND(F35*Calculations!$B$7,0)</f>
        <v>12</v>
      </c>
      <c r="G36" s="17" t="n">
        <f aca="false">ROUND(G35*Calculations!$B$7,0)</f>
        <v>14</v>
      </c>
      <c r="H36" s="9" t="s">
        <v>68</v>
      </c>
    </row>
    <row r="37" customFormat="false" ht="19.4" hidden="false" customHeight="false" outlineLevel="0" collapsed="false">
      <c r="A37" s="4" t="s">
        <v>69</v>
      </c>
      <c r="B37" s="17" t="n">
        <f aca="false">ROUND(B36*Calculations!$B$8,0)</f>
        <v>4</v>
      </c>
      <c r="C37" s="17" t="n">
        <f aca="false">ROUND(C36*Calculations!$B$8,0)</f>
        <v>4</v>
      </c>
      <c r="D37" s="17" t="n">
        <f aca="false">ROUND(D36*Calculations!$B$8,0)</f>
        <v>5</v>
      </c>
      <c r="E37" s="17" t="n">
        <f aca="false">ROUND(E36*Calculations!$B$8,0)</f>
        <v>5</v>
      </c>
      <c r="F37" s="17" t="n">
        <f aca="false">ROUND(F36*Calculations!$B$8,0)</f>
        <v>5</v>
      </c>
      <c r="G37" s="17" t="n">
        <f aca="false">ROUND(G36*Calculations!$B$8,0)</f>
        <v>6</v>
      </c>
      <c r="H37" s="9" t="s">
        <v>70</v>
      </c>
    </row>
    <row r="38" customFormat="false" ht="19.4" hidden="false" customHeight="false" outlineLevel="0" collapsed="false">
      <c r="A38" s="4" t="s">
        <v>71</v>
      </c>
      <c r="B38" s="17" t="n">
        <f aca="false">ROUND(B37*Calculations!$B$9,0)</f>
        <v>1</v>
      </c>
      <c r="C38" s="17" t="n">
        <f aca="false">ROUND(C37*Calculations!$B$9,0)</f>
        <v>1</v>
      </c>
      <c r="D38" s="17" t="n">
        <f aca="false">ROUND(D37*Calculations!$B$9,0)</f>
        <v>2</v>
      </c>
      <c r="E38" s="17" t="n">
        <f aca="false">ROUND(E37*Calculations!$B$9,0)</f>
        <v>2</v>
      </c>
      <c r="F38" s="17" t="n">
        <f aca="false">ROUND(F37*Calculations!$B$9,0)</f>
        <v>2</v>
      </c>
      <c r="G38" s="17" t="n">
        <f aca="false">ROUND(G37*Calculations!$B$9,0)</f>
        <v>2</v>
      </c>
      <c r="H38" s="9" t="s">
        <v>72</v>
      </c>
    </row>
    <row r="39" customFormat="false" ht="19.4" hidden="false" customHeight="false" outlineLevel="0" collapsed="false">
      <c r="A39" s="4" t="s">
        <v>8</v>
      </c>
      <c r="B39" s="18" t="n">
        <f aca="false">Calculations!$B$18</f>
        <v>50</v>
      </c>
      <c r="C39" s="18" t="n">
        <f aca="false">Calculations!$B$18</f>
        <v>50</v>
      </c>
      <c r="D39" s="18" t="n">
        <f aca="false">Calculations!$B$18</f>
        <v>50</v>
      </c>
      <c r="E39" s="18" t="n">
        <f aca="false">Calculations!$B$18</f>
        <v>50</v>
      </c>
      <c r="F39" s="18" t="n">
        <f aca="false">Calculations!$B$18</f>
        <v>50</v>
      </c>
      <c r="G39" s="18" t="n">
        <f aca="false">Calculations!$B$18</f>
        <v>50</v>
      </c>
      <c r="H39" s="9" t="s">
        <v>73</v>
      </c>
    </row>
    <row r="40" customFormat="false" ht="19.4" hidden="false" customHeight="false" outlineLevel="0" collapsed="false">
      <c r="A40" s="4" t="s">
        <v>74</v>
      </c>
      <c r="B40" s="18" t="n">
        <f aca="false">IFERROR(B39/B36,0)</f>
        <v>6.25</v>
      </c>
      <c r="C40" s="18" t="n">
        <f aca="false">IFERROR(C39/C36,0)</f>
        <v>5.55555555555556</v>
      </c>
      <c r="D40" s="18" t="n">
        <f aca="false">IFERROR(D39/D36,0)</f>
        <v>5</v>
      </c>
      <c r="E40" s="18" t="n">
        <f aca="false">IFERROR(E39/E36,0)</f>
        <v>4.54545454545455</v>
      </c>
      <c r="F40" s="18" t="n">
        <f aca="false">IFERROR(F39/F36,0)</f>
        <v>4.16666666666667</v>
      </c>
      <c r="G40" s="18" t="n">
        <f aca="false">IFERROR(G39/G36,0)</f>
        <v>3.57142857142857</v>
      </c>
      <c r="H40" s="9" t="s">
        <v>75</v>
      </c>
    </row>
    <row r="41" customFormat="false" ht="28.35" hidden="false" customHeight="false" outlineLevel="0" collapsed="false">
      <c r="A41" s="4" t="s">
        <v>76</v>
      </c>
      <c r="B41" s="18" t="n">
        <f aca="false">Calculations!$B$10*Calculations!$B$11*Calculations!$B$12</f>
        <v>20</v>
      </c>
      <c r="C41" s="18" t="n">
        <f aca="false">Calculations!$B$10*Calculations!$B$11*Calculations!$B$12</f>
        <v>20</v>
      </c>
      <c r="D41" s="18" t="n">
        <f aca="false">Calculations!$B$10*Calculations!$B$11*Calculations!$B$12</f>
        <v>20</v>
      </c>
      <c r="E41" s="18" t="n">
        <f aca="false">Calculations!$B$10*Calculations!$B$11*Calculations!$B$12</f>
        <v>20</v>
      </c>
      <c r="F41" s="18" t="n">
        <f aca="false">Calculations!$B$10*Calculations!$B$11*Calculations!$B$12</f>
        <v>20</v>
      </c>
      <c r="G41" s="18" t="n">
        <f aca="false">Calculations!$B$10*Calculations!$B$11*Calculations!$B$12</f>
        <v>20</v>
      </c>
      <c r="H41" s="9" t="s">
        <v>77</v>
      </c>
    </row>
    <row r="44" customFormat="false" ht="15" hidden="false" customHeight="true" outlineLevel="0" collapsed="false">
      <c r="A44" s="3" t="s">
        <v>79</v>
      </c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 t="s">
        <v>19</v>
      </c>
      <c r="B45" s="7" t="s">
        <v>58</v>
      </c>
      <c r="C45" s="7" t="s">
        <v>59</v>
      </c>
      <c r="D45" s="7" t="s">
        <v>60</v>
      </c>
      <c r="E45" s="7" t="s">
        <v>61</v>
      </c>
      <c r="F45" s="7" t="s">
        <v>62</v>
      </c>
      <c r="G45" s="7" t="s">
        <v>63</v>
      </c>
      <c r="H45" s="9" t="s">
        <v>64</v>
      </c>
    </row>
    <row r="46" customFormat="false" ht="37.3" hidden="false" customHeight="false" outlineLevel="0" collapsed="false">
      <c r="A46" s="4" t="s">
        <v>65</v>
      </c>
      <c r="B46" s="17" t="n">
        <f aca="false">ROUND(Calculations!$B$6*Calculations!$B$16*(1+Calculations!$B$13)^0,0)</f>
        <v>68</v>
      </c>
      <c r="C46" s="17" t="n">
        <f aca="false">ROUND(Calculations!$B$6*Calculations!$B$16*(1+Calculations!$B$13)^1,0)</f>
        <v>76</v>
      </c>
      <c r="D46" s="17" t="n">
        <f aca="false">ROUND(Calculations!$B$6*Calculations!$B$16*(1+Calculations!$B$13)^2,0)</f>
        <v>85</v>
      </c>
      <c r="E46" s="17" t="n">
        <f aca="false">ROUND(Calculations!$B$6*Calculations!$B$16*(1+Calculations!$B$13)^3,0)</f>
        <v>95</v>
      </c>
      <c r="F46" s="17" t="n">
        <f aca="false">ROUND(Calculations!$B$6*Calculations!$B$16*(1+Calculations!$B$13)^4,0)</f>
        <v>106</v>
      </c>
      <c r="G46" s="17" t="n">
        <f aca="false">ROUND(Calculations!$B$6*Calculations!$B$16*(1+Calculations!$B$13)^5,0)</f>
        <v>119</v>
      </c>
      <c r="H46" s="9" t="s">
        <v>66</v>
      </c>
    </row>
    <row r="47" customFormat="false" ht="19.4" hidden="false" customHeight="false" outlineLevel="0" collapsed="false">
      <c r="A47" s="4" t="s">
        <v>67</v>
      </c>
      <c r="B47" s="17" t="n">
        <f aca="false">ROUND(B46*Calculations!$B$7,0)</f>
        <v>5</v>
      </c>
      <c r="C47" s="17" t="n">
        <f aca="false">ROUND(C46*Calculations!$B$7,0)</f>
        <v>5</v>
      </c>
      <c r="D47" s="17" t="n">
        <f aca="false">ROUND(D46*Calculations!$B$7,0)</f>
        <v>6</v>
      </c>
      <c r="E47" s="17" t="n">
        <f aca="false">ROUND(E46*Calculations!$B$7,0)</f>
        <v>7</v>
      </c>
      <c r="F47" s="17" t="n">
        <f aca="false">ROUND(F46*Calculations!$B$7,0)</f>
        <v>7</v>
      </c>
      <c r="G47" s="17" t="n">
        <f aca="false">ROUND(G46*Calculations!$B$7,0)</f>
        <v>8</v>
      </c>
      <c r="H47" s="9" t="s">
        <v>68</v>
      </c>
    </row>
    <row r="48" customFormat="false" ht="19.4" hidden="false" customHeight="false" outlineLevel="0" collapsed="false">
      <c r="A48" s="4" t="s">
        <v>69</v>
      </c>
      <c r="B48" s="17" t="n">
        <f aca="false">ROUND(B47*Calculations!$B$8,0)</f>
        <v>2</v>
      </c>
      <c r="C48" s="17" t="n">
        <f aca="false">ROUND(C47*Calculations!$B$8,0)</f>
        <v>2</v>
      </c>
      <c r="D48" s="17" t="n">
        <f aca="false">ROUND(D47*Calculations!$B$8,0)</f>
        <v>3</v>
      </c>
      <c r="E48" s="17" t="n">
        <f aca="false">ROUND(E47*Calculations!$B$8,0)</f>
        <v>3</v>
      </c>
      <c r="F48" s="17" t="n">
        <f aca="false">ROUND(F47*Calculations!$B$8,0)</f>
        <v>3</v>
      </c>
      <c r="G48" s="17" t="n">
        <f aca="false">ROUND(G47*Calculations!$B$8,0)</f>
        <v>4</v>
      </c>
      <c r="H48" s="9" t="s">
        <v>70</v>
      </c>
    </row>
    <row r="49" customFormat="false" ht="19.4" hidden="false" customHeight="false" outlineLevel="0" collapsed="false">
      <c r="A49" s="4" t="s">
        <v>71</v>
      </c>
      <c r="B49" s="17" t="n">
        <f aca="false">ROUND(B48*Calculations!$B$9,0)</f>
        <v>1</v>
      </c>
      <c r="C49" s="17" t="n">
        <f aca="false">ROUND(C48*Calculations!$B$9,0)</f>
        <v>1</v>
      </c>
      <c r="D49" s="17" t="n">
        <f aca="false">ROUND(D48*Calculations!$B$9,0)</f>
        <v>1</v>
      </c>
      <c r="E49" s="17" t="n">
        <f aca="false">ROUND(E48*Calculations!$B$9,0)</f>
        <v>1</v>
      </c>
      <c r="F49" s="17" t="n">
        <f aca="false">ROUND(F48*Calculations!$B$9,0)</f>
        <v>1</v>
      </c>
      <c r="G49" s="17" t="n">
        <f aca="false">ROUND(G48*Calculations!$B$9,0)</f>
        <v>1</v>
      </c>
      <c r="H49" s="9" t="s">
        <v>72</v>
      </c>
    </row>
    <row r="50" customFormat="false" ht="19.4" hidden="false" customHeight="false" outlineLevel="0" collapsed="false">
      <c r="A50" s="4" t="s">
        <v>8</v>
      </c>
      <c r="B50" s="18" t="n">
        <f aca="false">Calculations!$B$19</f>
        <v>30</v>
      </c>
      <c r="C50" s="18" t="n">
        <f aca="false">Calculations!$B$19</f>
        <v>30</v>
      </c>
      <c r="D50" s="18" t="n">
        <f aca="false">Calculations!$B$19</f>
        <v>30</v>
      </c>
      <c r="E50" s="18" t="n">
        <f aca="false">Calculations!$B$19</f>
        <v>30</v>
      </c>
      <c r="F50" s="18" t="n">
        <f aca="false">Calculations!$B$19</f>
        <v>30</v>
      </c>
      <c r="G50" s="18" t="n">
        <f aca="false">Calculations!$B$19</f>
        <v>30</v>
      </c>
      <c r="H50" s="9" t="s">
        <v>73</v>
      </c>
    </row>
    <row r="51" customFormat="false" ht="19.4" hidden="false" customHeight="false" outlineLevel="0" collapsed="false">
      <c r="A51" s="4" t="s">
        <v>74</v>
      </c>
      <c r="B51" s="18" t="n">
        <f aca="false">IFERROR(B50/B47,0)</f>
        <v>6</v>
      </c>
      <c r="C51" s="18" t="n">
        <f aca="false">IFERROR(C50/C47,0)</f>
        <v>6</v>
      </c>
      <c r="D51" s="18" t="n">
        <f aca="false">IFERROR(D50/D47,0)</f>
        <v>5</v>
      </c>
      <c r="E51" s="18" t="n">
        <f aca="false">IFERROR(E50/E47,0)</f>
        <v>4.28571428571429</v>
      </c>
      <c r="F51" s="18" t="n">
        <f aca="false">IFERROR(F50/F47,0)</f>
        <v>4.28571428571429</v>
      </c>
      <c r="G51" s="18" t="n">
        <f aca="false">IFERROR(G50/G47,0)</f>
        <v>3.75</v>
      </c>
      <c r="H51" s="9" t="s">
        <v>75</v>
      </c>
    </row>
    <row r="52" customFormat="false" ht="28.35" hidden="false" customHeight="false" outlineLevel="0" collapsed="false">
      <c r="A52" s="4" t="s">
        <v>76</v>
      </c>
      <c r="B52" s="18" t="n">
        <f aca="false">Calculations!$B$10*Calculations!$B$11*Calculations!$B$12</f>
        <v>20</v>
      </c>
      <c r="C52" s="18" t="n">
        <f aca="false">Calculations!$B$10*Calculations!$B$11*Calculations!$B$12</f>
        <v>20</v>
      </c>
      <c r="D52" s="18" t="n">
        <f aca="false">Calculations!$B$10*Calculations!$B$11*Calculations!$B$12</f>
        <v>20</v>
      </c>
      <c r="E52" s="18" t="n">
        <f aca="false">Calculations!$B$10*Calculations!$B$11*Calculations!$B$12</f>
        <v>20</v>
      </c>
      <c r="F52" s="18" t="n">
        <f aca="false">Calculations!$B$10*Calculations!$B$11*Calculations!$B$12</f>
        <v>20</v>
      </c>
      <c r="G52" s="18" t="n">
        <f aca="false">Calculations!$B$10*Calculations!$B$11*Calculations!$B$12</f>
        <v>20</v>
      </c>
      <c r="H52" s="9" t="s">
        <v>77</v>
      </c>
    </row>
    <row r="55" customFormat="false" ht="15" hidden="false" customHeight="true" outlineLevel="0" collapsed="false">
      <c r="A55" s="3" t="s">
        <v>80</v>
      </c>
      <c r="B55" s="3"/>
      <c r="C55" s="3"/>
      <c r="D55" s="3"/>
      <c r="E55" s="3"/>
      <c r="F55" s="3"/>
      <c r="G55" s="3"/>
      <c r="H55" s="3"/>
      <c r="I55" s="3"/>
    </row>
    <row r="56" customFormat="false" ht="15" hidden="false" customHeight="false" outlineLevel="0" collapsed="false">
      <c r="A56" s="3" t="s">
        <v>19</v>
      </c>
      <c r="B56" s="7" t="s">
        <v>58</v>
      </c>
      <c r="C56" s="7" t="s">
        <v>59</v>
      </c>
      <c r="D56" s="7" t="s">
        <v>60</v>
      </c>
      <c r="E56" s="7" t="s">
        <v>61</v>
      </c>
      <c r="F56" s="7" t="s">
        <v>62</v>
      </c>
      <c r="G56" s="7" t="s">
        <v>63</v>
      </c>
    </row>
    <row r="57" customFormat="false" ht="15" hidden="false" customHeight="false" outlineLevel="0" collapsed="false">
      <c r="A57" s="19" t="s">
        <v>81</v>
      </c>
      <c r="B57" s="20" t="n">
        <f aca="false">B27+B38+B49</f>
        <v>5</v>
      </c>
      <c r="C57" s="20" t="n">
        <f aca="false">B57+C27+C38+C49</f>
        <v>10</v>
      </c>
      <c r="D57" s="20" t="n">
        <f aca="false">C57+D27+D38+D49</f>
        <v>17</v>
      </c>
      <c r="E57" s="20" t="n">
        <f aca="false">D57+E27+E38+E49</f>
        <v>24</v>
      </c>
      <c r="F57" s="20" t="n">
        <f aca="false">E57+F27+F38+F49</f>
        <v>32</v>
      </c>
      <c r="G57" s="20" t="n">
        <f aca="false">F57+G27+G38+G49</f>
        <v>40</v>
      </c>
    </row>
  </sheetData>
  <mergeCells count="6">
    <mergeCell ref="A4:C4"/>
    <mergeCell ref="A21:I21"/>
    <mergeCell ref="A22:I22"/>
    <mergeCell ref="A33:I33"/>
    <mergeCell ref="A44:I44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true" outlineLevel="0" collapsed="false">
      <c r="A4" s="3" t="s">
        <v>84</v>
      </c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7" t="s">
        <v>85</v>
      </c>
      <c r="B5" s="7" t="s">
        <v>86</v>
      </c>
      <c r="C5" s="7" t="s">
        <v>76</v>
      </c>
      <c r="D5" s="7" t="s">
        <v>87</v>
      </c>
      <c r="E5" s="7" t="s">
        <v>88</v>
      </c>
      <c r="F5" s="7" t="s">
        <v>89</v>
      </c>
    </row>
    <row r="6" customFormat="false" ht="15" hidden="false" customHeight="false" outlineLevel="0" collapsed="false">
      <c r="A6" s="21" t="s">
        <v>20</v>
      </c>
      <c r="B6" s="22" t="n">
        <f aca="false">ROUND(Inputs!B15*Inputs!B16*Inputs!B17*Inputs!B18*IF(Inputs!B22=0,6,((1+Inputs!B22)^6-1)/Inputs!B22),0)</f>
        <v>3</v>
      </c>
      <c r="C6" s="23" t="n">
        <f aca="false">Inputs!B19*Inputs!B20*Inputs!B21</f>
        <v>0</v>
      </c>
      <c r="D6" s="23" t="n">
        <f aca="false">IFERROR(((Inputs!C9+Inputs!C10+Inputs!C11)*6)/(Inputs!B15*Inputs!B16*IF(Inputs!B22=0,6,((1+Inputs!B22)^6-1)/Inputs!B22)),0)</f>
        <v>8.82104808661129</v>
      </c>
      <c r="E6" s="24" t="n">
        <f aca="false">IFERROR(C6/D6,0)</f>
        <v>0</v>
      </c>
      <c r="F6" s="25" t="n">
        <f aca="false">IFERROR(D6/(Inputs!B19*Inputs!B20),0)</f>
        <v>0</v>
      </c>
    </row>
    <row r="7" customFormat="false" ht="15" hidden="false" customHeight="false" outlineLevel="0" collapsed="false">
      <c r="A7" s="26" t="s">
        <v>21</v>
      </c>
      <c r="B7" s="27" t="n">
        <f aca="false">ROUND(Inputs!C15*Inputs!C16*Inputs!C17*Inputs!C18*IF(Inputs!C22=0,6,((1+Inputs!C22)^6-1)/Inputs!C22),0)</f>
        <v>40</v>
      </c>
      <c r="C7" s="28" t="n">
        <f aca="false">Inputs!C19*Inputs!C20*Inputs!C21</f>
        <v>20</v>
      </c>
      <c r="D7" s="28" t="n">
        <f aca="false">IFERROR(((Inputs!C9+Inputs!C10+Inputs!C11)*6)/(Inputs!C15*Inputs!C16*IF(Inputs!C22=0,6,((1+Inputs!C22)^6-1)/Inputs!C22)),0)</f>
        <v>1.87772523313721</v>
      </c>
      <c r="E7" s="29" t="n">
        <f aca="false">IFERROR(C7/D7,0)</f>
        <v>10.6511856192</v>
      </c>
      <c r="F7" s="30" t="n">
        <f aca="false">IFERROR(D7/(Inputs!C19*Inputs!C20),0)</f>
        <v>0.938862616568603</v>
      </c>
    </row>
    <row r="8" customFormat="false" ht="15" hidden="false" customHeight="false" outlineLevel="0" collapsed="false">
      <c r="A8" s="19" t="s">
        <v>22</v>
      </c>
      <c r="B8" s="20" t="n">
        <f aca="false">ROUND(Inputs!D15*Inputs!D16*Inputs!D17*Inputs!D18*IF(Inputs!D22=0,6,((1+Inputs!D22)^6-1)/Inputs!D22),0)</f>
        <v>322</v>
      </c>
      <c r="C8" s="31" t="n">
        <f aca="false">Inputs!D19*Inputs!D20*Inputs!D21</f>
        <v>76.5</v>
      </c>
      <c r="D8" s="31" t="n">
        <f aca="false">IFERROR(((Inputs!C9+Inputs!C10+Inputs!C11)*6)/(Inputs!D15*Inputs!D16*IF(Inputs!D22=0,6,((1+Inputs!D22)^6-1)/Inputs!D22)),0)</f>
        <v>0.447581092742383</v>
      </c>
      <c r="E8" s="32" t="n">
        <f aca="false">IFERROR(C8/D8,0)</f>
        <v>170.918748</v>
      </c>
      <c r="F8" s="33" t="n">
        <f aca="false">IFERROR(D8/(Inputs!D19*Inputs!D20),0)</f>
        <v>0.105313198292325</v>
      </c>
    </row>
    <row r="11" customFormat="false" ht="15" hidden="false" customHeight="true" outlineLevel="0" collapsed="false">
      <c r="A11" s="3" t="s">
        <v>90</v>
      </c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7" t="s">
        <v>19</v>
      </c>
      <c r="B12" s="7" t="s">
        <v>58</v>
      </c>
      <c r="C12" s="7" t="s">
        <v>59</v>
      </c>
      <c r="D12" s="7" t="s">
        <v>60</v>
      </c>
      <c r="E12" s="7" t="s">
        <v>61</v>
      </c>
      <c r="F12" s="7" t="s">
        <v>62</v>
      </c>
      <c r="G12" s="7" t="s">
        <v>63</v>
      </c>
    </row>
    <row r="13" customFormat="false" ht="15" hidden="false" customHeight="false" outlineLevel="0" collapsed="false">
      <c r="A13" s="19" t="s">
        <v>81</v>
      </c>
      <c r="B13" s="34" t="n">
        <f aca="false">Calculations!B57</f>
        <v>5</v>
      </c>
      <c r="C13" s="34" t="n">
        <f aca="false">Calculations!C57</f>
        <v>10</v>
      </c>
      <c r="D13" s="34" t="n">
        <f aca="false">Calculations!D57</f>
        <v>17</v>
      </c>
      <c r="E13" s="34" t="n">
        <f aca="false">Calculations!E57</f>
        <v>24</v>
      </c>
      <c r="F13" s="34" t="n">
        <f aca="false">Calculations!F57</f>
        <v>32</v>
      </c>
      <c r="G13" s="34" t="n">
        <f aca="false">Calculations!G57</f>
        <v>40</v>
      </c>
    </row>
    <row r="14" customFormat="false" ht="15" hidden="false" customHeight="false" outlineLevel="0" collapsed="false">
      <c r="A14" s="35" t="s">
        <v>91</v>
      </c>
      <c r="B14" s="36" t="n">
        <f aca="false">Calculations!B27</f>
        <v>3</v>
      </c>
      <c r="C14" s="36" t="n">
        <f aca="false">Calculations!C27</f>
        <v>3</v>
      </c>
      <c r="D14" s="36" t="n">
        <f aca="false">Calculations!D27</f>
        <v>4</v>
      </c>
      <c r="E14" s="36" t="n">
        <f aca="false">Calculations!E27</f>
        <v>4</v>
      </c>
      <c r="F14" s="36" t="n">
        <f aca="false">Calculations!F27</f>
        <v>5</v>
      </c>
      <c r="G14" s="36" t="n">
        <f aca="false">Calculations!G27</f>
        <v>5</v>
      </c>
    </row>
    <row r="15" customFormat="false" ht="15" hidden="false" customHeight="false" outlineLevel="0" collapsed="false">
      <c r="A15" s="35" t="s">
        <v>92</v>
      </c>
      <c r="B15" s="36" t="n">
        <f aca="false">Calculations!B38</f>
        <v>1</v>
      </c>
      <c r="C15" s="36" t="n">
        <f aca="false">Calculations!C38</f>
        <v>1</v>
      </c>
      <c r="D15" s="36" t="n">
        <f aca="false">Calculations!D38</f>
        <v>2</v>
      </c>
      <c r="E15" s="36" t="n">
        <f aca="false">Calculations!E38</f>
        <v>2</v>
      </c>
      <c r="F15" s="36" t="n">
        <f aca="false">Calculations!F38</f>
        <v>2</v>
      </c>
      <c r="G15" s="36" t="n">
        <f aca="false">Calculations!G38</f>
        <v>2</v>
      </c>
    </row>
    <row r="16" customFormat="false" ht="15" hidden="false" customHeight="false" outlineLevel="0" collapsed="false">
      <c r="A16" s="35" t="s">
        <v>93</v>
      </c>
      <c r="B16" s="36" t="n">
        <f aca="false">Calculations!B49</f>
        <v>1</v>
      </c>
      <c r="C16" s="36" t="n">
        <f aca="false">Calculations!C49</f>
        <v>1</v>
      </c>
      <c r="D16" s="36" t="n">
        <f aca="false">Calculations!D49</f>
        <v>1</v>
      </c>
      <c r="E16" s="36" t="n">
        <f aca="false">Calculations!E49</f>
        <v>1</v>
      </c>
      <c r="F16" s="36" t="n">
        <f aca="false">Calculations!F49</f>
        <v>1</v>
      </c>
      <c r="G16" s="36" t="n">
        <f aca="false">Calculations!G49</f>
        <v>1</v>
      </c>
    </row>
    <row r="18" customFormat="false" ht="15" hidden="false" customHeight="true" outlineLevel="0" collapsed="false">
      <c r="A18" s="3" t="s">
        <v>94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4" t="s">
        <v>95</v>
      </c>
      <c r="B19" s="37" t="n">
        <f aca="false">Calculations!$B$7</f>
        <v>0.07</v>
      </c>
    </row>
    <row r="20" customFormat="false" ht="15" hidden="false" customHeight="false" outlineLevel="0" collapsed="false">
      <c r="A20" s="4" t="s">
        <v>96</v>
      </c>
      <c r="B20" s="13" t="n">
        <f aca="false">B19/2</f>
        <v>0.035</v>
      </c>
    </row>
    <row r="21" customFormat="false" ht="15" hidden="false" customHeight="false" outlineLevel="0" collapsed="false">
      <c r="A21" s="4" t="s">
        <v>97</v>
      </c>
      <c r="B21" s="38" t="n">
        <f aca="false">ROUND(H13*(1-Inputs!B26*0.5),0)</f>
        <v>0</v>
      </c>
    </row>
    <row r="22" customFormat="false" ht="15" hidden="false" customHeight="true" outlineLevel="0" collapsed="false">
      <c r="A22" s="39" t="s">
        <v>98</v>
      </c>
      <c r="B22" s="39"/>
      <c r="C22" s="39"/>
      <c r="D22" s="39"/>
      <c r="E22" s="39"/>
      <c r="F22" s="39"/>
    </row>
  </sheetData>
  <mergeCells count="4">
    <mergeCell ref="A4:H4"/>
    <mergeCell ref="A11:I11"/>
    <mergeCell ref="A18:F18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2026-05-21T18:40:34Z</dcterms:created>
  <dc:creator>openpyxl</dc:creator>
  <dc:description/>
  <dc:language>en-US</dc:language>
  <cp:lastModifiedBy/>
  <dcterms:modified xsi:type="dcterms:W3CDTF">2026-05-21T18:40:43Z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